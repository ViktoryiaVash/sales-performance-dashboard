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1cfce836e5eedeee/Desktop/Data Analyst Course/Projects/"/>
    </mc:Choice>
  </mc:AlternateContent>
  <xr:revisionPtr revIDLastSave="0" documentId="14_{B0AA31C6-B602-40AB-8F89-30ADBE3881FE}" xr6:coauthVersionLast="47" xr6:coauthVersionMax="47" xr10:uidLastSave="{00000000-0000-0000-0000-000000000000}"/>
  <bookViews>
    <workbookView xWindow="-108" yWindow="-108" windowWidth="23256" windowHeight="12816" firstSheet="1" activeTab="3" xr2:uid="{00000000-000D-0000-FFFF-FFFF00000000}"/>
  </bookViews>
  <sheets>
    <sheet name="Calc" sheetId="1" state="hidden" r:id="rId1"/>
    <sheet name="Raw Data" sheetId="2" r:id="rId2"/>
    <sheet name="Clean Data" sheetId="3" r:id="rId3"/>
    <sheet name="Dashboard" sheetId="5" r:id="rId4"/>
    <sheet name="Calcs for dash" sheetId="6" r:id="rId5"/>
    <sheet name="Pivot1" sheetId="4" r:id="rId6"/>
    <sheet name="Pivot2" sheetId="7" r:id="rId7"/>
  </sheets>
  <calcPr calcId="191029"/>
  <pivotCaches>
    <pivotCache cacheId="1" r:id="rId8"/>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5" l="1"/>
  <c r="B88" i="6"/>
  <c r="B89" i="6"/>
  <c r="B90" i="6"/>
  <c r="B91" i="6"/>
  <c r="B87" i="6"/>
  <c r="B86" i="6"/>
  <c r="I18" i="5"/>
  <c r="J18" i="5"/>
  <c r="J19" i="5"/>
  <c r="I20" i="5"/>
  <c r="J20" i="5"/>
  <c r="I21" i="5"/>
  <c r="J21" i="5"/>
  <c r="J17" i="5"/>
  <c r="I17" i="5"/>
  <c r="G19" i="5"/>
  <c r="G20" i="5"/>
  <c r="G21" i="5"/>
  <c r="G18" i="5"/>
  <c r="G17" i="5"/>
  <c r="J16" i="5"/>
  <c r="I16" i="5"/>
  <c r="I69" i="6"/>
  <c r="I68" i="6"/>
  <c r="I67" i="6"/>
  <c r="I66" i="6"/>
  <c r="I65" i="6"/>
  <c r="I60" i="6"/>
  <c r="I59" i="6"/>
  <c r="I58" i="6"/>
  <c r="I57" i="6"/>
  <c r="I56" i="6"/>
  <c r="H55" i="6"/>
  <c r="A76" i="6"/>
  <c r="B76" i="6"/>
  <c r="C76" i="6"/>
  <c r="A69" i="6"/>
  <c r="B69" i="6"/>
  <c r="C69" i="6"/>
  <c r="A62" i="6"/>
  <c r="B62" i="6"/>
  <c r="C62" i="6"/>
  <c r="A60" i="6"/>
  <c r="B60" i="6"/>
  <c r="C60" i="6"/>
  <c r="A56" i="6"/>
  <c r="B56" i="6"/>
  <c r="C56" i="6"/>
  <c r="A80" i="6"/>
  <c r="B80" i="6"/>
  <c r="C80" i="6"/>
  <c r="A61" i="6"/>
  <c r="B61" i="6"/>
  <c r="C61" i="6"/>
  <c r="A82" i="6"/>
  <c r="B82" i="6"/>
  <c r="C82" i="6"/>
  <c r="A73" i="6"/>
  <c r="B73" i="6"/>
  <c r="C73" i="6"/>
  <c r="A72" i="6"/>
  <c r="B72" i="6"/>
  <c r="C72" i="6"/>
  <c r="A58" i="6"/>
  <c r="B58" i="6"/>
  <c r="C58" i="6"/>
  <c r="A57" i="6"/>
  <c r="B57" i="6"/>
  <c r="C57" i="6"/>
  <c r="A77" i="6"/>
  <c r="B77" i="6"/>
  <c r="C77" i="6"/>
  <c r="A71" i="6"/>
  <c r="B71" i="6"/>
  <c r="C71" i="6"/>
  <c r="A64" i="6"/>
  <c r="B64" i="6"/>
  <c r="C64" i="6"/>
  <c r="A81" i="6"/>
  <c r="B81" i="6"/>
  <c r="C81" i="6"/>
  <c r="A78" i="6"/>
  <c r="B78" i="6"/>
  <c r="C78" i="6"/>
  <c r="A70" i="6"/>
  <c r="B70" i="6"/>
  <c r="C70" i="6"/>
  <c r="A68" i="6"/>
  <c r="B68" i="6"/>
  <c r="C68" i="6"/>
  <c r="A75" i="6"/>
  <c r="B75" i="6"/>
  <c r="C75" i="6"/>
  <c r="A63" i="6"/>
  <c r="B63" i="6"/>
  <c r="C63" i="6"/>
  <c r="A66" i="6"/>
  <c r="B66" i="6"/>
  <c r="C66" i="6"/>
  <c r="A79" i="6"/>
  <c r="B79" i="6"/>
  <c r="C79" i="6"/>
  <c r="A67" i="6"/>
  <c r="B67" i="6"/>
  <c r="C67" i="6"/>
  <c r="A59" i="6"/>
  <c r="B59" i="6"/>
  <c r="C59" i="6"/>
  <c r="A74" i="6"/>
  <c r="B74" i="6"/>
  <c r="C74" i="6"/>
  <c r="C55" i="6"/>
  <c r="B55" i="6"/>
  <c r="B65" i="6"/>
  <c r="C65" i="6"/>
  <c r="A65" i="6"/>
  <c r="B46" i="6"/>
  <c r="B47" i="6"/>
  <c r="B48" i="6"/>
  <c r="B49" i="6"/>
  <c r="B50" i="6"/>
  <c r="B45" i="6"/>
  <c r="B27" i="6"/>
  <c r="B26" i="6"/>
  <c r="B20" i="6"/>
  <c r="B19" i="6"/>
  <c r="B6" i="6"/>
  <c r="B5" i="6"/>
  <c r="B14" i="6"/>
  <c r="B4" i="6"/>
  <c r="B13" i="6"/>
  <c r="B3" i="6"/>
  <c r="B12" i="6"/>
  <c r="B11" i="6"/>
  <c r="B2" i="6"/>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3" i="3"/>
  <c r="I4" i="3"/>
  <c r="I5" i="3"/>
  <c r="I2"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3" i="3"/>
  <c r="U2" i="3"/>
  <c r="T27" i="3"/>
  <c r="T28" i="3"/>
  <c r="T29" i="3"/>
  <c r="T30" i="3"/>
  <c r="T31" i="3"/>
  <c r="T32" i="3"/>
  <c r="T33" i="3"/>
  <c r="T34" i="3"/>
  <c r="T35" i="3"/>
  <c r="T36" i="3"/>
  <c r="T37" i="3"/>
  <c r="T38" i="3"/>
  <c r="T39" i="3"/>
  <c r="T40" i="3"/>
  <c r="T41" i="3"/>
  <c r="T42" i="3"/>
  <c r="T3" i="3"/>
  <c r="T4" i="3"/>
  <c r="T5" i="3"/>
  <c r="T6" i="3"/>
  <c r="T7" i="3"/>
  <c r="T8" i="3"/>
  <c r="T9" i="3"/>
  <c r="T10" i="3"/>
  <c r="T11" i="3"/>
  <c r="T12" i="3"/>
  <c r="T13" i="3"/>
  <c r="T14" i="3"/>
  <c r="T15" i="3"/>
  <c r="T16" i="3"/>
  <c r="T17" i="3"/>
  <c r="T18" i="3"/>
  <c r="T19" i="3"/>
  <c r="T20" i="3"/>
  <c r="T21" i="3"/>
  <c r="T22" i="3"/>
  <c r="T23" i="3"/>
  <c r="T24" i="3"/>
  <c r="T25" i="3"/>
  <c r="T26" i="3"/>
  <c r="T2" i="3"/>
  <c r="H29" i="3"/>
  <c r="H30" i="3"/>
  <c r="H31" i="3"/>
  <c r="H32" i="3"/>
  <c r="H33" i="3"/>
  <c r="H34" i="3"/>
  <c r="H35" i="3"/>
  <c r="H36" i="3"/>
  <c r="H37" i="3"/>
  <c r="H38" i="3"/>
  <c r="H39" i="3"/>
  <c r="H40" i="3"/>
  <c r="H41" i="3"/>
  <c r="H42" i="3"/>
  <c r="H4" i="3"/>
  <c r="H5" i="3"/>
  <c r="H6" i="3"/>
  <c r="H7" i="3"/>
  <c r="H8" i="3"/>
  <c r="H9" i="3"/>
  <c r="H10" i="3"/>
  <c r="H11" i="3"/>
  <c r="H12" i="3"/>
  <c r="H13" i="3"/>
  <c r="H14" i="3"/>
  <c r="H15" i="3"/>
  <c r="H16" i="3"/>
  <c r="H17" i="3"/>
  <c r="H18" i="3"/>
  <c r="H19" i="3"/>
  <c r="H20" i="3"/>
  <c r="H21" i="3"/>
  <c r="H22" i="3"/>
  <c r="H23" i="3"/>
  <c r="H24" i="3"/>
  <c r="H25" i="3"/>
  <c r="H26" i="3"/>
  <c r="H27" i="3"/>
  <c r="H28" i="3"/>
  <c r="H3" i="3"/>
  <c r="H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2" i="3"/>
  <c r="E30" i="3"/>
  <c r="E31" i="3"/>
  <c r="E32" i="3"/>
  <c r="E33" i="3"/>
  <c r="E34" i="3"/>
  <c r="E35" i="3"/>
  <c r="E36" i="3"/>
  <c r="E37" i="3"/>
  <c r="E38" i="3"/>
  <c r="E39" i="3"/>
  <c r="E40" i="3"/>
  <c r="E41" i="3"/>
  <c r="E42" i="3"/>
  <c r="E4" i="3"/>
  <c r="E5" i="3"/>
  <c r="E6" i="3"/>
  <c r="E7" i="3"/>
  <c r="E8" i="3"/>
  <c r="E9" i="3"/>
  <c r="E10" i="3"/>
  <c r="E11" i="3"/>
  <c r="E12" i="3"/>
  <c r="E13" i="3"/>
  <c r="E14" i="3"/>
  <c r="E15" i="3"/>
  <c r="E16" i="3"/>
  <c r="E17" i="3"/>
  <c r="E18" i="3"/>
  <c r="E19" i="3"/>
  <c r="E20" i="3"/>
  <c r="E21" i="3"/>
  <c r="E22" i="3"/>
  <c r="E23" i="3"/>
  <c r="E24" i="3"/>
  <c r="E25" i="3"/>
  <c r="E26" i="3"/>
  <c r="E27" i="3"/>
  <c r="E28" i="3"/>
  <c r="E29" i="3"/>
  <c r="E3"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2" i="3"/>
  <c r="S42" i="3"/>
  <c r="R42" i="3"/>
  <c r="Q42" i="3"/>
  <c r="P42" i="3"/>
  <c r="O42" i="3"/>
  <c r="N42" i="3"/>
  <c r="M42" i="3"/>
  <c r="L42" i="3"/>
  <c r="K42" i="3"/>
  <c r="J42" i="3"/>
  <c r="G42" i="3"/>
  <c r="F42" i="3"/>
  <c r="S41" i="3"/>
  <c r="R41" i="3"/>
  <c r="Q41" i="3"/>
  <c r="P41" i="3"/>
  <c r="O41" i="3"/>
  <c r="N41" i="3"/>
  <c r="M41" i="3"/>
  <c r="L41" i="3"/>
  <c r="K41" i="3"/>
  <c r="J41" i="3"/>
  <c r="G41" i="3"/>
  <c r="F41" i="3"/>
  <c r="S40" i="3"/>
  <c r="R40" i="3"/>
  <c r="Q40" i="3"/>
  <c r="P40" i="3"/>
  <c r="O40" i="3"/>
  <c r="N40" i="3"/>
  <c r="M40" i="3"/>
  <c r="L40" i="3"/>
  <c r="K40" i="3"/>
  <c r="J40" i="3"/>
  <c r="G40" i="3"/>
  <c r="F40" i="3"/>
  <c r="S39" i="3"/>
  <c r="R39" i="3"/>
  <c r="Q39" i="3"/>
  <c r="P39" i="3"/>
  <c r="O39" i="3"/>
  <c r="N39" i="3"/>
  <c r="M39" i="3"/>
  <c r="L39" i="3"/>
  <c r="K39" i="3"/>
  <c r="J39" i="3"/>
  <c r="G39" i="3"/>
  <c r="F39" i="3"/>
  <c r="S38" i="3"/>
  <c r="R38" i="3"/>
  <c r="Q38" i="3"/>
  <c r="P38" i="3"/>
  <c r="O38" i="3"/>
  <c r="N38" i="3"/>
  <c r="M38" i="3"/>
  <c r="L38" i="3"/>
  <c r="K38" i="3"/>
  <c r="J38" i="3"/>
  <c r="G38" i="3"/>
  <c r="F38" i="3"/>
  <c r="S37" i="3"/>
  <c r="R37" i="3"/>
  <c r="Q37" i="3"/>
  <c r="P37" i="3"/>
  <c r="O37" i="3"/>
  <c r="N37" i="3"/>
  <c r="M37" i="3"/>
  <c r="L37" i="3"/>
  <c r="K37" i="3"/>
  <c r="J37" i="3"/>
  <c r="G37" i="3"/>
  <c r="F37" i="3"/>
  <c r="S36" i="3"/>
  <c r="R36" i="3"/>
  <c r="Q36" i="3"/>
  <c r="P36" i="3"/>
  <c r="O36" i="3"/>
  <c r="N36" i="3"/>
  <c r="M36" i="3"/>
  <c r="L36" i="3"/>
  <c r="K36" i="3"/>
  <c r="J36" i="3"/>
  <c r="G36" i="3"/>
  <c r="F36" i="3"/>
  <c r="S35" i="3"/>
  <c r="R35" i="3"/>
  <c r="Q35" i="3"/>
  <c r="P35" i="3"/>
  <c r="O35" i="3"/>
  <c r="N35" i="3"/>
  <c r="M35" i="3"/>
  <c r="L35" i="3"/>
  <c r="K35" i="3"/>
  <c r="J35" i="3"/>
  <c r="G35" i="3"/>
  <c r="F35" i="3"/>
  <c r="S34" i="3"/>
  <c r="R34" i="3"/>
  <c r="Q34" i="3"/>
  <c r="P34" i="3"/>
  <c r="O34" i="3"/>
  <c r="N34" i="3"/>
  <c r="M34" i="3"/>
  <c r="L34" i="3"/>
  <c r="K34" i="3"/>
  <c r="J34" i="3"/>
  <c r="G34" i="3"/>
  <c r="F34" i="3"/>
  <c r="S33" i="3"/>
  <c r="R33" i="3"/>
  <c r="Q33" i="3"/>
  <c r="P33" i="3"/>
  <c r="O33" i="3"/>
  <c r="N33" i="3"/>
  <c r="M33" i="3"/>
  <c r="L33" i="3"/>
  <c r="K33" i="3"/>
  <c r="J33" i="3"/>
  <c r="G33" i="3"/>
  <c r="F33" i="3"/>
  <c r="S32" i="3"/>
  <c r="R32" i="3"/>
  <c r="Q32" i="3"/>
  <c r="P32" i="3"/>
  <c r="O32" i="3"/>
  <c r="N32" i="3"/>
  <c r="M32" i="3"/>
  <c r="L32" i="3"/>
  <c r="K32" i="3"/>
  <c r="J32" i="3"/>
  <c r="G32" i="3"/>
  <c r="F32" i="3"/>
  <c r="S31" i="3"/>
  <c r="R31" i="3"/>
  <c r="Q31" i="3"/>
  <c r="P31" i="3"/>
  <c r="O31" i="3"/>
  <c r="N31" i="3"/>
  <c r="M31" i="3"/>
  <c r="L31" i="3"/>
  <c r="K31" i="3"/>
  <c r="J31" i="3"/>
  <c r="G31" i="3"/>
  <c r="F31" i="3"/>
  <c r="S30" i="3"/>
  <c r="R30" i="3"/>
  <c r="Q30" i="3"/>
  <c r="P30" i="3"/>
  <c r="O30" i="3"/>
  <c r="N30" i="3"/>
  <c r="M30" i="3"/>
  <c r="L30" i="3"/>
  <c r="K30" i="3"/>
  <c r="J30" i="3"/>
  <c r="G30" i="3"/>
  <c r="F30" i="3"/>
  <c r="S29" i="3"/>
  <c r="R29" i="3"/>
  <c r="Q29" i="3"/>
  <c r="P29" i="3"/>
  <c r="O29" i="3"/>
  <c r="N29" i="3"/>
  <c r="M29" i="3"/>
  <c r="L29" i="3"/>
  <c r="K29" i="3"/>
  <c r="J29" i="3"/>
  <c r="G29" i="3"/>
  <c r="F29" i="3"/>
  <c r="S28" i="3"/>
  <c r="R28" i="3"/>
  <c r="Q28" i="3"/>
  <c r="P28" i="3"/>
  <c r="O28" i="3"/>
  <c r="N28" i="3"/>
  <c r="M28" i="3"/>
  <c r="L28" i="3"/>
  <c r="K28" i="3"/>
  <c r="J28" i="3"/>
  <c r="G28" i="3"/>
  <c r="F28" i="3"/>
  <c r="S27" i="3"/>
  <c r="R27" i="3"/>
  <c r="Q27" i="3"/>
  <c r="P27" i="3"/>
  <c r="O27" i="3"/>
  <c r="N27" i="3"/>
  <c r="M27" i="3"/>
  <c r="L27" i="3"/>
  <c r="K27" i="3"/>
  <c r="J27" i="3"/>
  <c r="G27" i="3"/>
  <c r="F27" i="3"/>
  <c r="S26" i="3"/>
  <c r="R26" i="3"/>
  <c r="Q26" i="3"/>
  <c r="P26" i="3"/>
  <c r="O26" i="3"/>
  <c r="N26" i="3"/>
  <c r="M26" i="3"/>
  <c r="L26" i="3"/>
  <c r="K26" i="3"/>
  <c r="J26" i="3"/>
  <c r="G26" i="3"/>
  <c r="F26" i="3"/>
  <c r="S25" i="3"/>
  <c r="R25" i="3"/>
  <c r="Q25" i="3"/>
  <c r="P25" i="3"/>
  <c r="O25" i="3"/>
  <c r="N25" i="3"/>
  <c r="M25" i="3"/>
  <c r="L25" i="3"/>
  <c r="K25" i="3"/>
  <c r="J25" i="3"/>
  <c r="G25" i="3"/>
  <c r="F25" i="3"/>
  <c r="S24" i="3"/>
  <c r="R24" i="3"/>
  <c r="Q24" i="3"/>
  <c r="P24" i="3"/>
  <c r="O24" i="3"/>
  <c r="N24" i="3"/>
  <c r="M24" i="3"/>
  <c r="L24" i="3"/>
  <c r="K24" i="3"/>
  <c r="J24" i="3"/>
  <c r="G24" i="3"/>
  <c r="F24" i="3"/>
  <c r="S23" i="3"/>
  <c r="R23" i="3"/>
  <c r="Q23" i="3"/>
  <c r="P23" i="3"/>
  <c r="O23" i="3"/>
  <c r="N23" i="3"/>
  <c r="M23" i="3"/>
  <c r="L23" i="3"/>
  <c r="K23" i="3"/>
  <c r="J23" i="3"/>
  <c r="G23" i="3"/>
  <c r="F23" i="3"/>
  <c r="S22" i="3"/>
  <c r="R22" i="3"/>
  <c r="Q22" i="3"/>
  <c r="P22" i="3"/>
  <c r="O22" i="3"/>
  <c r="N22" i="3"/>
  <c r="M22" i="3"/>
  <c r="L22" i="3"/>
  <c r="K22" i="3"/>
  <c r="J22" i="3"/>
  <c r="G22" i="3"/>
  <c r="F22" i="3"/>
  <c r="S21" i="3"/>
  <c r="R21" i="3"/>
  <c r="Q21" i="3"/>
  <c r="P21" i="3"/>
  <c r="O21" i="3"/>
  <c r="N21" i="3"/>
  <c r="M21" i="3"/>
  <c r="L21" i="3"/>
  <c r="K21" i="3"/>
  <c r="J21" i="3"/>
  <c r="G21" i="3"/>
  <c r="F21" i="3"/>
  <c r="S20" i="3"/>
  <c r="R20" i="3"/>
  <c r="Q20" i="3"/>
  <c r="P20" i="3"/>
  <c r="O20" i="3"/>
  <c r="N20" i="3"/>
  <c r="M20" i="3"/>
  <c r="L20" i="3"/>
  <c r="K20" i="3"/>
  <c r="J20" i="3"/>
  <c r="G20" i="3"/>
  <c r="F20" i="3"/>
  <c r="S19" i="3"/>
  <c r="R19" i="3"/>
  <c r="Q19" i="3"/>
  <c r="P19" i="3"/>
  <c r="O19" i="3"/>
  <c r="N19" i="3"/>
  <c r="M19" i="3"/>
  <c r="L19" i="3"/>
  <c r="K19" i="3"/>
  <c r="J19" i="3"/>
  <c r="G19" i="3"/>
  <c r="F19" i="3"/>
  <c r="S18" i="3"/>
  <c r="R18" i="3"/>
  <c r="Q18" i="3"/>
  <c r="P18" i="3"/>
  <c r="O18" i="3"/>
  <c r="N18" i="3"/>
  <c r="M18" i="3"/>
  <c r="L18" i="3"/>
  <c r="K18" i="3"/>
  <c r="J18" i="3"/>
  <c r="G18" i="3"/>
  <c r="F18" i="3"/>
  <c r="S17" i="3"/>
  <c r="R17" i="3"/>
  <c r="Q17" i="3"/>
  <c r="P17" i="3"/>
  <c r="O17" i="3"/>
  <c r="N17" i="3"/>
  <c r="M17" i="3"/>
  <c r="L17" i="3"/>
  <c r="K17" i="3"/>
  <c r="J17" i="3"/>
  <c r="G17" i="3"/>
  <c r="F17" i="3"/>
  <c r="S16" i="3"/>
  <c r="R16" i="3"/>
  <c r="Q16" i="3"/>
  <c r="P16" i="3"/>
  <c r="O16" i="3"/>
  <c r="N16" i="3"/>
  <c r="M16" i="3"/>
  <c r="L16" i="3"/>
  <c r="K16" i="3"/>
  <c r="J16" i="3"/>
  <c r="G16" i="3"/>
  <c r="F16" i="3"/>
  <c r="S15" i="3"/>
  <c r="R15" i="3"/>
  <c r="Q15" i="3"/>
  <c r="P15" i="3"/>
  <c r="O15" i="3"/>
  <c r="N15" i="3"/>
  <c r="M15" i="3"/>
  <c r="L15" i="3"/>
  <c r="K15" i="3"/>
  <c r="J15" i="3"/>
  <c r="G15" i="3"/>
  <c r="F15" i="3"/>
  <c r="S14" i="3"/>
  <c r="R14" i="3"/>
  <c r="Q14" i="3"/>
  <c r="P14" i="3"/>
  <c r="O14" i="3"/>
  <c r="N14" i="3"/>
  <c r="M14" i="3"/>
  <c r="L14" i="3"/>
  <c r="K14" i="3"/>
  <c r="J14" i="3"/>
  <c r="G14" i="3"/>
  <c r="F14" i="3"/>
  <c r="S13" i="3"/>
  <c r="R13" i="3"/>
  <c r="Q13" i="3"/>
  <c r="P13" i="3"/>
  <c r="O13" i="3"/>
  <c r="N13" i="3"/>
  <c r="M13" i="3"/>
  <c r="L13" i="3"/>
  <c r="K13" i="3"/>
  <c r="J13" i="3"/>
  <c r="G13" i="3"/>
  <c r="F13" i="3"/>
  <c r="S12" i="3"/>
  <c r="R12" i="3"/>
  <c r="Q12" i="3"/>
  <c r="P12" i="3"/>
  <c r="O12" i="3"/>
  <c r="N12" i="3"/>
  <c r="M12" i="3"/>
  <c r="L12" i="3"/>
  <c r="K12" i="3"/>
  <c r="J12" i="3"/>
  <c r="G12" i="3"/>
  <c r="F12" i="3"/>
  <c r="S11" i="3"/>
  <c r="R11" i="3"/>
  <c r="Q11" i="3"/>
  <c r="P11" i="3"/>
  <c r="O11" i="3"/>
  <c r="N11" i="3"/>
  <c r="M11" i="3"/>
  <c r="L11" i="3"/>
  <c r="K11" i="3"/>
  <c r="J11" i="3"/>
  <c r="G11" i="3"/>
  <c r="F11" i="3"/>
  <c r="S10" i="3"/>
  <c r="R10" i="3"/>
  <c r="Q10" i="3"/>
  <c r="P10" i="3"/>
  <c r="O10" i="3"/>
  <c r="N10" i="3"/>
  <c r="M10" i="3"/>
  <c r="L10" i="3"/>
  <c r="K10" i="3"/>
  <c r="J10" i="3"/>
  <c r="G10" i="3"/>
  <c r="F10" i="3"/>
  <c r="S9" i="3"/>
  <c r="R9" i="3"/>
  <c r="Q9" i="3"/>
  <c r="P9" i="3"/>
  <c r="O9" i="3"/>
  <c r="N9" i="3"/>
  <c r="M9" i="3"/>
  <c r="L9" i="3"/>
  <c r="K9" i="3"/>
  <c r="J9" i="3"/>
  <c r="G9" i="3"/>
  <c r="F9" i="3"/>
  <c r="S8" i="3"/>
  <c r="R8" i="3"/>
  <c r="Q8" i="3"/>
  <c r="P8" i="3"/>
  <c r="O8" i="3"/>
  <c r="N8" i="3"/>
  <c r="M8" i="3"/>
  <c r="L8" i="3"/>
  <c r="K8" i="3"/>
  <c r="J8" i="3"/>
  <c r="G8" i="3"/>
  <c r="F8" i="3"/>
  <c r="S7" i="3"/>
  <c r="R7" i="3"/>
  <c r="Q7" i="3"/>
  <c r="P7" i="3"/>
  <c r="O7" i="3"/>
  <c r="N7" i="3"/>
  <c r="M7" i="3"/>
  <c r="L7" i="3"/>
  <c r="K7" i="3"/>
  <c r="J7" i="3"/>
  <c r="G7" i="3"/>
  <c r="F7" i="3"/>
  <c r="S6" i="3"/>
  <c r="R6" i="3"/>
  <c r="Q6" i="3"/>
  <c r="P6" i="3"/>
  <c r="O6" i="3"/>
  <c r="N6" i="3"/>
  <c r="M6" i="3"/>
  <c r="L6" i="3"/>
  <c r="K6" i="3"/>
  <c r="J6" i="3"/>
  <c r="G6" i="3"/>
  <c r="F6" i="3"/>
  <c r="S5" i="3"/>
  <c r="R5" i="3"/>
  <c r="Q5" i="3"/>
  <c r="P5" i="3"/>
  <c r="O5" i="3"/>
  <c r="N5" i="3"/>
  <c r="M5" i="3"/>
  <c r="L5" i="3"/>
  <c r="K5" i="3"/>
  <c r="J5" i="3"/>
  <c r="G5" i="3"/>
  <c r="F5" i="3"/>
  <c r="S4" i="3"/>
  <c r="R4" i="3"/>
  <c r="Q4" i="3"/>
  <c r="P4" i="3"/>
  <c r="O4" i="3"/>
  <c r="N4" i="3"/>
  <c r="M4" i="3"/>
  <c r="L4" i="3"/>
  <c r="K4" i="3"/>
  <c r="J4" i="3"/>
  <c r="G4" i="3"/>
  <c r="F4" i="3"/>
  <c r="S3" i="3"/>
  <c r="R3" i="3"/>
  <c r="Q3" i="3"/>
  <c r="P3" i="3"/>
  <c r="O3" i="3"/>
  <c r="N3" i="3"/>
  <c r="M3" i="3"/>
  <c r="L3" i="3"/>
  <c r="K3" i="3"/>
  <c r="J3" i="3"/>
  <c r="G3" i="3"/>
  <c r="F3" i="3"/>
  <c r="S2" i="3"/>
  <c r="R2" i="3"/>
  <c r="Q2" i="3"/>
  <c r="P2" i="3"/>
  <c r="O2" i="3"/>
  <c r="N2" i="3"/>
  <c r="M2" i="3"/>
  <c r="L2" i="3"/>
  <c r="K2" i="3"/>
  <c r="J2" i="3"/>
  <c r="G2" i="3"/>
  <c r="F2" i="3"/>
  <c r="E2" i="3"/>
  <c r="P42" i="1"/>
  <c r="I42" i="1"/>
  <c r="H42" i="1"/>
  <c r="P41" i="1"/>
  <c r="I41" i="1"/>
  <c r="H41" i="1"/>
  <c r="P40" i="1"/>
  <c r="I40" i="1"/>
  <c r="H40" i="1"/>
  <c r="P39" i="1"/>
  <c r="I39" i="1"/>
  <c r="H39" i="1"/>
  <c r="P38" i="1"/>
  <c r="I38" i="1"/>
  <c r="H38" i="1"/>
  <c r="P37" i="1"/>
  <c r="I37" i="1"/>
  <c r="H37" i="1"/>
  <c r="P36" i="1"/>
  <c r="I36" i="1"/>
  <c r="H36" i="1"/>
  <c r="P35" i="1"/>
  <c r="I35" i="1"/>
  <c r="H35" i="1"/>
  <c r="P34" i="1"/>
  <c r="I34" i="1"/>
  <c r="H34" i="1"/>
  <c r="P33" i="1"/>
  <c r="I33" i="1"/>
  <c r="H33" i="1"/>
  <c r="P32" i="1"/>
  <c r="I32" i="1"/>
  <c r="H32" i="1"/>
  <c r="R31" i="1"/>
  <c r="P31" i="1"/>
  <c r="I31" i="1"/>
  <c r="H31" i="1"/>
  <c r="P30" i="1"/>
  <c r="I30" i="1"/>
  <c r="H30" i="1"/>
  <c r="P29" i="1"/>
  <c r="I29" i="1"/>
  <c r="H29" i="1"/>
  <c r="P28" i="1"/>
  <c r="I28" i="1"/>
  <c r="H28" i="1"/>
  <c r="P27" i="1"/>
  <c r="I27" i="1"/>
  <c r="H27" i="1"/>
  <c r="P26" i="1"/>
  <c r="I26" i="1"/>
  <c r="H26" i="1"/>
  <c r="P25" i="1"/>
  <c r="I25" i="1"/>
  <c r="H25" i="1"/>
  <c r="P24" i="1"/>
  <c r="I24" i="1"/>
  <c r="H24" i="1"/>
  <c r="P23" i="1"/>
  <c r="I23" i="1"/>
  <c r="H23" i="1"/>
  <c r="P22" i="1"/>
  <c r="I22" i="1"/>
  <c r="H22" i="1"/>
  <c r="P21" i="1"/>
  <c r="I21" i="1"/>
  <c r="H21" i="1"/>
  <c r="P20" i="1"/>
  <c r="I20" i="1"/>
  <c r="H20" i="1"/>
  <c r="P19" i="1"/>
  <c r="I19" i="1"/>
  <c r="H19" i="1"/>
  <c r="P18" i="1"/>
  <c r="I18" i="1"/>
  <c r="H18" i="1"/>
  <c r="P17" i="1"/>
  <c r="I17" i="1"/>
  <c r="H17" i="1"/>
  <c r="P16" i="1"/>
  <c r="I16" i="1"/>
  <c r="H16" i="1"/>
  <c r="P15" i="1"/>
  <c r="I15" i="1"/>
  <c r="H15" i="1"/>
  <c r="M14" i="1"/>
  <c r="L14" i="1"/>
  <c r="I14" i="1"/>
  <c r="H14" i="1"/>
  <c r="M13" i="1"/>
  <c r="L13" i="1"/>
  <c r="I13" i="1"/>
  <c r="H13" i="1"/>
  <c r="M12" i="1"/>
  <c r="L12" i="1"/>
  <c r="I12" i="1"/>
  <c r="H12" i="1"/>
  <c r="M11" i="1"/>
  <c r="L11" i="1"/>
  <c r="I11" i="1"/>
  <c r="H11" i="1"/>
  <c r="M10" i="1"/>
  <c r="L10" i="1"/>
  <c r="I10" i="1"/>
  <c r="H10" i="1"/>
  <c r="M9" i="1"/>
  <c r="L9" i="1"/>
  <c r="I9" i="1"/>
  <c r="H9" i="1"/>
  <c r="M8" i="1"/>
  <c r="L8" i="1"/>
  <c r="J8" i="1"/>
  <c r="I8" i="1"/>
  <c r="H8" i="1"/>
  <c r="M7" i="1"/>
  <c r="L7" i="1"/>
  <c r="I7" i="1"/>
  <c r="H7" i="1"/>
  <c r="O6" i="1"/>
  <c r="M6" i="1"/>
  <c r="L6" i="1"/>
  <c r="I6" i="1"/>
  <c r="H6" i="1"/>
  <c r="M5" i="1"/>
  <c r="L5" i="1"/>
  <c r="I5" i="1"/>
  <c r="H5" i="1"/>
  <c r="M4" i="1"/>
  <c r="L4" i="1"/>
  <c r="I4" i="1"/>
  <c r="H4" i="1"/>
  <c r="P3" i="1"/>
  <c r="I3" i="1"/>
  <c r="H3" i="1"/>
  <c r="P2" i="1"/>
  <c r="I2" i="1"/>
  <c r="H2" i="1"/>
  <c r="G69" i="6" l="1"/>
  <c r="G68" i="6"/>
  <c r="G67" i="6"/>
  <c r="G66" i="6"/>
  <c r="G65" i="6"/>
  <c r="G57" i="6"/>
  <c r="G58" i="6"/>
  <c r="G59" i="6"/>
  <c r="G60" i="6"/>
  <c r="G56" i="6"/>
  <c r="D74" i="6"/>
  <c r="D72" i="6"/>
  <c r="D73" i="6"/>
  <c r="D78" i="6"/>
  <c r="H68" i="6" s="1"/>
  <c r="D66" i="6"/>
  <c r="D68" i="6"/>
  <c r="D70" i="6"/>
  <c r="D61" i="6"/>
  <c r="D76" i="6"/>
  <c r="D56" i="6"/>
  <c r="H56" i="6" s="1"/>
  <c r="D65" i="6"/>
  <c r="D64" i="6"/>
  <c r="D77" i="6"/>
  <c r="H69" i="6" s="1"/>
  <c r="D80" i="6"/>
  <c r="H66" i="6" s="1"/>
  <c r="D58" i="6"/>
  <c r="H58" i="6" s="1"/>
  <c r="D57" i="6"/>
  <c r="H57" i="6" s="1"/>
  <c r="D75" i="6"/>
  <c r="D71" i="6"/>
  <c r="D69" i="6"/>
  <c r="D60" i="6"/>
  <c r="H60" i="6" s="1"/>
  <c r="D63" i="6"/>
  <c r="D81" i="6"/>
  <c r="H65" i="6" s="1"/>
  <c r="D67" i="6"/>
  <c r="D79" i="6"/>
  <c r="H67" i="6" s="1"/>
  <c r="D59" i="6"/>
  <c r="H59" i="6" s="1"/>
  <c r="D62" i="6"/>
  <c r="Q42" i="1"/>
  <c r="J41" i="1"/>
  <c r="S40" i="1"/>
  <c r="R40" i="1"/>
  <c r="Q40" i="1"/>
  <c r="O11" i="1"/>
  <c r="N11" i="1"/>
  <c r="N7" i="1"/>
  <c r="N6" i="1"/>
  <c r="J6" i="1"/>
  <c r="O5" i="1"/>
  <c r="S3" i="1"/>
  <c r="Q3" i="1"/>
  <c r="J2" i="1"/>
  <c r="J42" i="1"/>
  <c r="J40" i="1"/>
  <c r="S39" i="1"/>
  <c r="R39" i="1"/>
  <c r="Q39" i="1"/>
  <c r="R34" i="1"/>
  <c r="Q33" i="1"/>
  <c r="S16" i="1"/>
  <c r="Q15" i="1"/>
  <c r="N14" i="1"/>
  <c r="R42" i="1"/>
  <c r="R37" i="1"/>
  <c r="J11" i="1"/>
  <c r="O10" i="1"/>
  <c r="N10" i="1"/>
  <c r="J10" i="1"/>
  <c r="N4" i="1"/>
  <c r="J4" i="1"/>
  <c r="J36" i="1"/>
  <c r="S35" i="1"/>
  <c r="R35" i="1"/>
  <c r="Q35" i="1"/>
  <c r="N5" i="1"/>
  <c r="J5" i="1"/>
  <c r="O4" i="1"/>
  <c r="R3" i="1"/>
  <c r="S2" i="1"/>
  <c r="Q2" i="1"/>
  <c r="J39" i="1"/>
  <c r="S38" i="1"/>
  <c r="R38" i="1"/>
  <c r="Q38" i="1"/>
  <c r="J33" i="1"/>
  <c r="S32" i="1"/>
  <c r="Q32" i="1"/>
  <c r="J32" i="1"/>
  <c r="Q31" i="1"/>
  <c r="J31" i="1"/>
  <c r="S30" i="1"/>
  <c r="R30" i="1"/>
  <c r="R29" i="1"/>
  <c r="Q29" i="1"/>
  <c r="J29" i="1"/>
  <c r="Q28" i="1"/>
  <c r="J28" i="1"/>
  <c r="S27" i="1"/>
  <c r="J27" i="1"/>
  <c r="S26" i="1"/>
  <c r="Q26" i="1"/>
  <c r="S25" i="1"/>
  <c r="Q25" i="1"/>
  <c r="J25" i="1"/>
  <c r="R24" i="1"/>
  <c r="Q24" i="1"/>
  <c r="R23" i="1"/>
  <c r="R22" i="1"/>
  <c r="S21" i="1"/>
  <c r="Q21" i="1"/>
  <c r="J21" i="1"/>
  <c r="S20" i="1"/>
  <c r="Q20" i="1"/>
  <c r="S19" i="1"/>
  <c r="Q18" i="1"/>
  <c r="S17" i="1"/>
  <c r="R16" i="1"/>
  <c r="J16" i="1"/>
  <c r="S15" i="1"/>
  <c r="J15" i="1"/>
  <c r="O9" i="1"/>
  <c r="N9" i="1"/>
  <c r="J9" i="1"/>
  <c r="O8" i="1"/>
  <c r="N8" i="1"/>
  <c r="O7" i="1"/>
  <c r="J7" i="1"/>
  <c r="J3" i="1"/>
  <c r="R2" i="1"/>
  <c r="J38" i="1"/>
  <c r="S37" i="1"/>
  <c r="Q37" i="1"/>
  <c r="J37" i="1"/>
  <c r="S36" i="1"/>
  <c r="R36" i="1"/>
  <c r="Q36" i="1"/>
  <c r="J35" i="1"/>
  <c r="S34" i="1"/>
  <c r="Q34" i="1"/>
  <c r="J34" i="1"/>
  <c r="S33" i="1"/>
  <c r="R33" i="1"/>
  <c r="R32" i="1"/>
  <c r="S31" i="1"/>
  <c r="Q30" i="1"/>
  <c r="J30" i="1"/>
  <c r="S29" i="1"/>
  <c r="R28" i="1"/>
  <c r="R27" i="1"/>
  <c r="R26" i="1"/>
  <c r="J26" i="1"/>
  <c r="R25" i="1"/>
  <c r="S24" i="1"/>
  <c r="S23" i="1"/>
  <c r="J23" i="1"/>
  <c r="S22" i="1"/>
  <c r="Q22" i="1"/>
  <c r="J22" i="1"/>
  <c r="R21" i="1"/>
  <c r="R20" i="1"/>
  <c r="J20" i="1"/>
  <c r="R19" i="1"/>
  <c r="J19" i="1"/>
  <c r="S18" i="1"/>
  <c r="R17" i="1"/>
  <c r="Q16" i="1"/>
  <c r="R15" i="1"/>
  <c r="O14" i="1"/>
  <c r="O13" i="1"/>
  <c r="J13" i="1"/>
  <c r="S42" i="1"/>
  <c r="S41" i="1"/>
  <c r="R41" i="1"/>
  <c r="Q41" i="1"/>
  <c r="S28" i="1"/>
  <c r="Q27" i="1"/>
  <c r="J24" i="1"/>
  <c r="Q23" i="1"/>
  <c r="Q19" i="1"/>
  <c r="R18" i="1"/>
  <c r="J18" i="1"/>
  <c r="Q17" i="1"/>
  <c r="J17" i="1"/>
  <c r="J14" i="1"/>
  <c r="N13" i="1"/>
  <c r="O12" i="1"/>
  <c r="N12" i="1"/>
  <c r="J12" i="1"/>
  <c r="P11" i="1"/>
  <c r="T40" i="1" l="1"/>
  <c r="U40" i="1"/>
  <c r="U3" i="1"/>
  <c r="T3" i="1"/>
  <c r="T39" i="1"/>
  <c r="U39" i="1"/>
  <c r="T16" i="1"/>
  <c r="U16" i="1"/>
  <c r="T35" i="1"/>
  <c r="U35" i="1"/>
  <c r="U2" i="1"/>
  <c r="T2" i="1"/>
  <c r="T38" i="1"/>
  <c r="U38" i="1"/>
  <c r="U32" i="1"/>
  <c r="T32" i="1"/>
  <c r="T30" i="1"/>
  <c r="U30" i="1"/>
  <c r="U27" i="1"/>
  <c r="T27" i="1"/>
  <c r="U26" i="1"/>
  <c r="T26" i="1"/>
  <c r="U25" i="1"/>
  <c r="T25" i="1"/>
  <c r="T21" i="1"/>
  <c r="U21" i="1"/>
  <c r="U20" i="1"/>
  <c r="T20" i="1"/>
  <c r="U19" i="1"/>
  <c r="T19" i="1"/>
  <c r="U17" i="1"/>
  <c r="T17" i="1"/>
  <c r="U15" i="1"/>
  <c r="T15" i="1"/>
  <c r="T37" i="1"/>
  <c r="U37" i="1"/>
  <c r="T36" i="1"/>
  <c r="U36" i="1"/>
  <c r="T34" i="1"/>
  <c r="U34" i="1"/>
  <c r="T33" i="1"/>
  <c r="U33" i="1"/>
  <c r="U31" i="1"/>
  <c r="T31" i="1"/>
  <c r="T29" i="1"/>
  <c r="U29" i="1"/>
  <c r="U24" i="1"/>
  <c r="T24" i="1"/>
  <c r="T23" i="1"/>
  <c r="U23" i="1"/>
  <c r="T22" i="1"/>
  <c r="U22" i="1"/>
  <c r="U18" i="1"/>
  <c r="T18" i="1"/>
  <c r="T42" i="1"/>
  <c r="U42" i="1"/>
  <c r="T41" i="1"/>
  <c r="U41" i="1"/>
  <c r="U28" i="1"/>
  <c r="T28" i="1"/>
  <c r="Q11" i="1"/>
  <c r="R11" i="1"/>
  <c r="S11" i="1"/>
  <c r="P10" i="1"/>
  <c r="P4" i="1"/>
  <c r="P9" i="1"/>
  <c r="P6" i="1"/>
  <c r="P5" i="1"/>
  <c r="P13" i="1"/>
  <c r="P14" i="1"/>
  <c r="P8" i="1"/>
  <c r="P7" i="1"/>
  <c r="P12" i="1"/>
  <c r="T11" i="1" l="1"/>
  <c r="U11" i="1"/>
  <c r="S10" i="1"/>
  <c r="Q10" i="1"/>
  <c r="R10" i="1"/>
  <c r="S4" i="1"/>
  <c r="Q4" i="1"/>
  <c r="R4" i="1"/>
  <c r="S9" i="1"/>
  <c r="R9" i="1"/>
  <c r="Q9" i="1"/>
  <c r="R6" i="1"/>
  <c r="Q6" i="1"/>
  <c r="S6" i="1"/>
  <c r="Q5" i="1"/>
  <c r="S5" i="1"/>
  <c r="R5" i="1"/>
  <c r="Q13" i="1"/>
  <c r="R13" i="1"/>
  <c r="S13" i="1"/>
  <c r="R14" i="1"/>
  <c r="S14" i="1"/>
  <c r="Q14" i="1"/>
  <c r="S8" i="1"/>
  <c r="R8" i="1"/>
  <c r="Q8" i="1"/>
  <c r="S7" i="1"/>
  <c r="R7" i="1"/>
  <c r="Q7" i="1"/>
  <c r="S12" i="1"/>
  <c r="Q12" i="1"/>
  <c r="R12" i="1"/>
  <c r="U10" i="1" l="1"/>
  <c r="T10" i="1"/>
  <c r="T4" i="1"/>
  <c r="U4" i="1"/>
  <c r="T9" i="1"/>
  <c r="U9" i="1"/>
  <c r="U6" i="1"/>
  <c r="T6" i="1"/>
  <c r="T5" i="1"/>
  <c r="U5" i="1"/>
  <c r="U13" i="1"/>
  <c r="T13" i="1"/>
  <c r="T14" i="1"/>
  <c r="U14" i="1"/>
  <c r="T8" i="1"/>
  <c r="U8" i="1"/>
  <c r="T7" i="1"/>
  <c r="U7" i="1"/>
  <c r="U12" i="1"/>
  <c r="T12" i="1"/>
</calcChain>
</file>

<file path=xl/sharedStrings.xml><?xml version="1.0" encoding="utf-8"?>
<sst xmlns="http://schemas.openxmlformats.org/spreadsheetml/2006/main" count="515" uniqueCount="111">
  <si>
    <t>0.3 75</t>
  </si>
  <si>
    <t>0.56 8</t>
  </si>
  <si>
    <t>Product</t>
  </si>
  <si>
    <t>Container Volume (L)</t>
  </si>
  <si>
    <t>Glass Color</t>
  </si>
  <si>
    <t>Sales Country</t>
  </si>
  <si>
    <t>Unit of Measure</t>
  </si>
  <si>
    <t>Quantity Sold</t>
  </si>
  <si>
    <t>Unit Weight (kg)</t>
  </si>
  <si>
    <t>Total Weight (tons)</t>
  </si>
  <si>
    <t>Average Selling Price per Unit (BYN)</t>
  </si>
  <si>
    <t>Average Selling Price per Ton (BYN)</t>
  </si>
  <si>
    <t>Net Revenue, excl. VAT (BYN)</t>
  </si>
  <si>
    <t>Gross Revenue, incl. VAT (BYN)</t>
  </si>
  <si>
    <t>Manufacturing Cost (BYN)</t>
  </si>
  <si>
    <t>Administrative Expenses (BYN)</t>
  </si>
  <si>
    <t>Selling Expenses (BYN)</t>
  </si>
  <si>
    <t>Total Cost (BYN)</t>
  </si>
  <si>
    <t>Unit Cost (BYN)</t>
  </si>
  <si>
    <t>Cost per Ton (BYN)</t>
  </si>
  <si>
    <t>Operating Profit (BYN)</t>
  </si>
  <si>
    <t>Product Profitability (%)</t>
  </si>
  <si>
    <t>Profit Margin (%)</t>
  </si>
  <si>
    <t>Bottle 32-П-29-А-700</t>
  </si>
  <si>
    <t>Colored</t>
  </si>
  <si>
    <t>Azerbaijan</t>
  </si>
  <si>
    <t>pcs</t>
  </si>
  <si>
    <t>Bottle 123-КПШ</t>
  </si>
  <si>
    <t>Clear</t>
  </si>
  <si>
    <t>Lithuania</t>
  </si>
  <si>
    <t>Bottle 11-ВКП-2</t>
  </si>
  <si>
    <t>Russia</t>
  </si>
  <si>
    <t>Bottle 42-КПШ</t>
  </si>
  <si>
    <t>Bottle 138-КПНн</t>
  </si>
  <si>
    <t>Bottle 109-А</t>
  </si>
  <si>
    <t>Bottle 111-В</t>
  </si>
  <si>
    <t>Poland</t>
  </si>
  <si>
    <t>Bottle 115-КПНб</t>
  </si>
  <si>
    <t>Bottle 118-ВВК</t>
  </si>
  <si>
    <t>Bottle 125-В</t>
  </si>
  <si>
    <t>Bottle 126-В</t>
  </si>
  <si>
    <t>Latvia</t>
  </si>
  <si>
    <t>Bottle 128-КПН-М</t>
  </si>
  <si>
    <t>Belarus</t>
  </si>
  <si>
    <t>Bottle 139-КНд</t>
  </si>
  <si>
    <t>Bottle 140-КПМ</t>
  </si>
  <si>
    <t>Bottle 17-В</t>
  </si>
  <si>
    <t>Bottle 81-КПМ</t>
  </si>
  <si>
    <t>Bottle 110-Ш</t>
  </si>
  <si>
    <t>Bottle 110-Ш-Green</t>
  </si>
  <si>
    <t>Bottle 110-Ш-Brown</t>
  </si>
  <si>
    <t>Bottle 117-П</t>
  </si>
  <si>
    <t>Bottle 31-П-29-Б</t>
  </si>
  <si>
    <t>Bottle 127-П-29-Б-700</t>
  </si>
  <si>
    <t>Bottle 29-В-1</t>
  </si>
  <si>
    <t>Bottle 29-В</t>
  </si>
  <si>
    <t>Bottle 32-П-29-Б</t>
  </si>
  <si>
    <t>Bottle 103-ВВК</t>
  </si>
  <si>
    <t>Bottle 12 3-КПШ</t>
  </si>
  <si>
    <t>USD</t>
  </si>
  <si>
    <t>Average Selling Price per Unit (USD)</t>
  </si>
  <si>
    <t>Average Selling Price per Ton (USD)</t>
  </si>
  <si>
    <t>Net Revenue, excl. VAT (USD)</t>
  </si>
  <si>
    <t>Gross Revenue, incl. VAT (USD)</t>
  </si>
  <si>
    <t>Manufacturing Cost (USD)</t>
  </si>
  <si>
    <t>Administrative Expenses (USD)</t>
  </si>
  <si>
    <t>Selling Expenses (USD)</t>
  </si>
  <si>
    <t>Total Cost (USD)</t>
  </si>
  <si>
    <t>Unit Cost (USD)</t>
  </si>
  <si>
    <t>Cost per Ton (USD)</t>
  </si>
  <si>
    <t>Operating Profit (USD)</t>
  </si>
  <si>
    <t>Col  ored</t>
  </si>
  <si>
    <t>Color  ed</t>
  </si>
  <si>
    <t>C  olored</t>
  </si>
  <si>
    <t>Bela  rus</t>
  </si>
  <si>
    <t>Belaru  s</t>
  </si>
  <si>
    <t>Belar  us</t>
  </si>
  <si>
    <t>Bottle 115-КП∞Нб</t>
  </si>
  <si>
    <t>Bottle 138-КПНн∞</t>
  </si>
  <si>
    <t>Bottle 110-∞Ш</t>
  </si>
  <si>
    <t>Bottle 123-КП∞Ш</t>
  </si>
  <si>
    <t>0.5  68</t>
  </si>
  <si>
    <t>Row Labels</t>
  </si>
  <si>
    <t>Grand Total</t>
  </si>
  <si>
    <t>Sum of Quantity Sold</t>
  </si>
  <si>
    <t>0.375</t>
  </si>
  <si>
    <t>0.5</t>
  </si>
  <si>
    <t>0.568</t>
  </si>
  <si>
    <t>0.7</t>
  </si>
  <si>
    <t>0.75</t>
  </si>
  <si>
    <t>Average selling price</t>
  </si>
  <si>
    <t>Average unit weight</t>
  </si>
  <si>
    <t>Average unit cost</t>
  </si>
  <si>
    <t>Profit margin (month)</t>
  </si>
  <si>
    <t>Product  profitability (month)</t>
  </si>
  <si>
    <t>Summary data</t>
  </si>
  <si>
    <t>Pie chart</t>
  </si>
  <si>
    <t>Quantity Sold by color</t>
  </si>
  <si>
    <t>Operating Profit by Glass Color(USD)</t>
  </si>
  <si>
    <t>Sum of Total Cost (USD)</t>
  </si>
  <si>
    <t>Sum of Operating Profit (USD)</t>
  </si>
  <si>
    <t>TOP 5 profitable bottles</t>
  </si>
  <si>
    <t>TOP 5 loss-making bottles</t>
  </si>
  <si>
    <t>Metrics for</t>
  </si>
  <si>
    <t xml:space="preserve">Product  profitability </t>
  </si>
  <si>
    <t>Product  profitability (target)</t>
  </si>
  <si>
    <t>0.375 liter</t>
  </si>
  <si>
    <t>0.5 liter</t>
  </si>
  <si>
    <t>0.568 liter</t>
  </si>
  <si>
    <t>0.7 liter</t>
  </si>
  <si>
    <t>0.75 liter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</si>
</sst>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
    <numFmt numFmtId="167" formatCode="0.0%"/>
  </numFmts>
  <fonts count="9" x14ac:knownFonts="1">
    <font>
      <sz val="11"/>
      <color theme="1"/>
      <name val="Aptos Narrow"/>
    </font>
    <font>
      <sz val="11"/>
      <color theme="1"/>
      <name val="Aptos Narrow"/>
      <family val="2"/>
    </font>
    <font>
      <sz val="9"/>
      <color theme="1"/>
      <name val="Aptos Narrow"/>
      <family val="2"/>
    </font>
    <font>
      <sz val="8"/>
      <color theme="1"/>
      <name val="Aptos Narrow"/>
      <family val="2"/>
    </font>
    <font>
      <b/>
      <sz val="11"/>
      <color theme="1"/>
      <name val="Aptos Narrow"/>
      <family val="2"/>
    </font>
    <font>
      <b/>
      <sz val="11"/>
      <color rgb="FF00B050"/>
      <name val="Aptos Narrow"/>
      <family val="2"/>
    </font>
    <font>
      <sz val="9"/>
      <color theme="0"/>
      <name val="Aptos Narrow"/>
      <family val="2"/>
    </font>
    <font>
      <sz val="9"/>
      <color theme="0" tint="-0.14999847407452621"/>
      <name val="Aptos Narrow"/>
      <family val="2"/>
    </font>
    <font>
      <sz val="8"/>
      <color theme="0"/>
      <name val="Abadi"/>
      <family val="2"/>
    </font>
  </fonts>
  <fills count="5">
    <fill>
      <patternFill patternType="none"/>
    </fill>
    <fill>
      <patternFill patternType="gray125"/>
    </fill>
    <fill>
      <patternFill patternType="solid">
        <fgColor theme="0" tint="-0.34998626667073579"/>
        <bgColor indexed="64"/>
      </patternFill>
    </fill>
    <fill>
      <patternFill patternType="solid">
        <fgColor theme="1"/>
        <bgColor indexed="64"/>
      </patternFill>
    </fill>
    <fill>
      <patternFill patternType="solid">
        <fgColor theme="2" tint="-0.499984740745262"/>
        <bgColor indexed="64"/>
      </patternFill>
    </fill>
  </fills>
  <borders count="9">
    <border>
      <left/>
      <right/>
      <top/>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style="dotted">
        <color auto="1"/>
      </left>
      <right/>
      <top/>
      <bottom style="dotted">
        <color auto="1"/>
      </bottom>
      <diagonal/>
    </border>
    <border>
      <left/>
      <right/>
      <top/>
      <bottom style="dotted">
        <color auto="1"/>
      </bottom>
      <diagonal/>
    </border>
    <border>
      <left/>
      <right style="dotted">
        <color auto="1"/>
      </right>
      <top/>
      <bottom/>
      <diagonal/>
    </border>
    <border>
      <left/>
      <right style="dotted">
        <color auto="1"/>
      </right>
      <top/>
      <bottom style="dotted">
        <color auto="1"/>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0" fontId="2" fillId="0" borderId="0" xfId="0" applyFont="1" applyAlignment="1">
      <alignment horizontal="center" vertical="center" wrapText="1"/>
    </xf>
    <xf numFmtId="164" fontId="0" fillId="0" borderId="0" xfId="0" applyNumberFormat="1"/>
    <xf numFmtId="2" fontId="0" fillId="0" borderId="0" xfId="0" applyNumberFormat="1"/>
    <xf numFmtId="165" fontId="0" fillId="0" borderId="0" xfId="0" applyNumberFormat="1"/>
    <xf numFmtId="166" fontId="0" fillId="0" borderId="0" xfId="0" applyNumberFormat="1"/>
    <xf numFmtId="1" fontId="0" fillId="0" borderId="0" xfId="0" applyNumberFormat="1"/>
    <xf numFmtId="167" fontId="0" fillId="0" borderId="0" xfId="1" applyNumberFormat="1" applyFont="1"/>
    <xf numFmtId="167" fontId="0" fillId="0" borderId="0" xfId="0" applyNumberFormat="1"/>
    <xf numFmtId="0" fontId="3" fillId="0" borderId="0" xfId="0" applyFont="1" applyAlignment="1">
      <alignment horizontal="center" vertical="center" wrapText="1"/>
    </xf>
    <xf numFmtId="0" fontId="1" fillId="0" borderId="0" xfId="0" applyFont="1"/>
    <xf numFmtId="167" fontId="0" fillId="2" borderId="0" xfId="0" applyNumberFormat="1" applyFill="1"/>
    <xf numFmtId="165" fontId="0" fillId="2" borderId="0" xfId="0" applyNumberFormat="1" applyFill="1"/>
    <xf numFmtId="0" fontId="0" fillId="2" borderId="0" xfId="0" applyFill="1"/>
    <xf numFmtId="0" fontId="1" fillId="2" borderId="0" xfId="0" applyFont="1" applyFill="1"/>
    <xf numFmtId="0" fontId="0" fillId="0" borderId="0" xfId="0" applyAlignment="1">
      <alignment horizontal="right" vertical="center"/>
    </xf>
    <xf numFmtId="166" fontId="0" fillId="2" borderId="0" xfId="0" applyNumberFormat="1" applyFill="1"/>
    <xf numFmtId="0" fontId="0" fillId="0" borderId="0" xfId="0" pivotButton="1"/>
    <xf numFmtId="0" fontId="0" fillId="0" borderId="0" xfId="0" applyAlignment="1">
      <alignment horizontal="left"/>
    </xf>
    <xf numFmtId="9" fontId="0" fillId="0" borderId="0" xfId="1" applyFont="1"/>
    <xf numFmtId="0" fontId="0" fillId="3" borderId="0" xfId="0" applyFill="1"/>
    <xf numFmtId="0" fontId="0" fillId="4" borderId="0" xfId="0" applyFill="1"/>
    <xf numFmtId="3" fontId="0" fillId="0" borderId="0" xfId="0" applyNumberFormat="1"/>
    <xf numFmtId="0" fontId="2" fillId="0" borderId="0" xfId="0" applyFont="1"/>
    <xf numFmtId="0" fontId="4" fillId="0" borderId="0" xfId="0" applyFont="1"/>
    <xf numFmtId="1" fontId="4" fillId="0" borderId="0" xfId="0" applyNumberFormat="1" applyFont="1"/>
    <xf numFmtId="167" fontId="2" fillId="0" borderId="0" xfId="0" applyNumberFormat="1" applyFont="1"/>
    <xf numFmtId="0" fontId="2" fillId="0" borderId="0" xfId="0" applyFont="1" applyAlignment="1">
      <alignment horizontal="center" vertical="top" wrapText="1"/>
    </xf>
    <xf numFmtId="0" fontId="5" fillId="0" borderId="0" xfId="0" applyFont="1"/>
    <xf numFmtId="0" fontId="1" fillId="4" borderId="0" xfId="0" applyFont="1" applyFill="1"/>
    <xf numFmtId="0" fontId="6" fillId="4" borderId="0" xfId="0" applyFont="1" applyFill="1"/>
    <xf numFmtId="0" fontId="7" fillId="4" borderId="0" xfId="0" applyFont="1" applyFill="1" applyAlignment="1">
      <alignment horizontal="right"/>
    </xf>
    <xf numFmtId="0" fontId="3" fillId="0" borderId="0" xfId="1" applyNumberFormat="1" applyFont="1" applyAlignment="1">
      <alignment horizontal="center" vertical="center" wrapText="1"/>
    </xf>
    <xf numFmtId="0" fontId="1" fillId="0" borderId="0" xfId="0" applyFont="1" applyAlignment="1">
      <alignment horizontal="left"/>
    </xf>
    <xf numFmtId="0" fontId="8" fillId="4" borderId="1" xfId="0" applyFont="1" applyFill="1" applyBorder="1" applyAlignment="1">
      <alignment horizontal="center" vertical="center"/>
    </xf>
    <xf numFmtId="0" fontId="0" fillId="4" borderId="2" xfId="0" applyFill="1" applyBorder="1"/>
    <xf numFmtId="0" fontId="8" fillId="4" borderId="2" xfId="0" applyFont="1" applyFill="1" applyBorder="1" applyAlignment="1">
      <alignment horizontal="center" vertical="center" wrapText="1"/>
    </xf>
    <xf numFmtId="0" fontId="8" fillId="4" borderId="3" xfId="0" applyFont="1" applyFill="1" applyBorder="1" applyAlignment="1">
      <alignment horizontal="center" vertical="center"/>
    </xf>
    <xf numFmtId="0" fontId="8" fillId="4" borderId="4" xfId="0" applyFont="1" applyFill="1" applyBorder="1"/>
    <xf numFmtId="0" fontId="8" fillId="4" borderId="5" xfId="0" applyFont="1" applyFill="1" applyBorder="1"/>
    <xf numFmtId="0" fontId="0" fillId="4" borderId="6" xfId="0" applyFill="1" applyBorder="1"/>
    <xf numFmtId="3" fontId="8" fillId="4" borderId="7" xfId="1" applyNumberFormat="1" applyFont="1" applyFill="1" applyBorder="1"/>
    <xf numFmtId="3" fontId="8" fillId="4" borderId="8" xfId="1" applyNumberFormat="1" applyFont="1" applyFill="1" applyBorder="1"/>
    <xf numFmtId="167" fontId="8" fillId="4" borderId="0" xfId="1" applyNumberFormat="1" applyFont="1" applyFill="1" applyBorder="1"/>
    <xf numFmtId="167" fontId="8" fillId="4" borderId="6" xfId="1" applyNumberFormat="1" applyFont="1" applyFill="1" applyBorder="1"/>
  </cellXfs>
  <cellStyles count="2">
    <cellStyle name="Normal" xfId="0" builtinId="0"/>
    <cellStyle name="Percent" xfId="1" xr:uid="{00000000-0005-0000-0000-000001000000}"/>
  </cellStyles>
  <dxfs count="14">
    <dxf>
      <numFmt numFmtId="2" formatCode="0.00"/>
    </dxf>
    <dxf>
      <alignment horizontal="right" vertical="center" textRotation="0" wrapText="0" indent="0" justifyLastLine="0" shrinkToFit="0" readingOrder="0"/>
    </dxf>
    <dxf>
      <font>
        <b val="0"/>
        <i val="0"/>
        <strike val="0"/>
        <condense val="0"/>
        <extend val="0"/>
        <outline val="0"/>
        <shadow val="0"/>
        <u val="none"/>
        <vertAlign val="baseline"/>
        <sz val="9"/>
        <color theme="1"/>
        <name val="Aptos Narrow"/>
        <family val="2"/>
        <scheme val="none"/>
      </font>
      <alignment horizontal="center" vertical="center" textRotation="0" wrapText="1" indent="0" justifyLastLine="0" shrinkToFit="0" readingOrder="0"/>
    </dxf>
    <dxf>
      <numFmt numFmtId="2" formatCode="0.00"/>
    </dxf>
    <dxf>
      <numFmt numFmtId="1" formatCode="0"/>
    </dxf>
    <dxf>
      <numFmt numFmtId="166" formatCode="0.0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66" formatCode="0.0000"/>
    </dxf>
  </dxfs>
  <tableStyles count="0" defaultTableStyle="TableStyleMedium2" defaultPivotStyle="PivotStyleLight16"/>
  <colors>
    <mruColors>
      <color rgb="FFC8CEC9"/>
      <color rgb="FF8FBF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spc="0" normalizeH="0" baseline="0">
                <a:solidFill>
                  <a:schemeClr val="bg1"/>
                </a:solidFill>
                <a:latin typeface="Abadi" panose="020B0604020104020204" pitchFamily="34" charset="0"/>
                <a:ea typeface="+mj-ea"/>
                <a:cs typeface="+mj-cs"/>
              </a:defRPr>
            </a:pPr>
            <a:r>
              <a:rPr lang="en-US" sz="1200">
                <a:solidFill>
                  <a:schemeClr val="bg1"/>
                </a:solidFill>
                <a:latin typeface="Abadi" panose="020B0604020104020204" pitchFamily="34" charset="0"/>
              </a:rPr>
              <a:t>Quantity Sold by Glass Color</a:t>
            </a:r>
          </a:p>
        </c:rich>
      </c:tx>
      <c:overlay val="0"/>
      <c:spPr>
        <a:noFill/>
        <a:ln>
          <a:noFill/>
        </a:ln>
        <a:effectLst/>
      </c:spPr>
      <c:txPr>
        <a:bodyPr rot="0" spcFirstLastPara="1" vertOverflow="ellipsis" vert="horz" wrap="square" anchor="ctr" anchorCtr="1"/>
        <a:lstStyle/>
        <a:p>
          <a:pPr>
            <a:defRPr sz="1200" b="1" i="0" u="none" strike="noStrike" kern="1200" spc="0" normalizeH="0" baseline="0">
              <a:solidFill>
                <a:schemeClr val="bg1"/>
              </a:solidFill>
              <a:latin typeface="Abadi" panose="020B0604020104020204" pitchFamily="34" charset="0"/>
              <a:ea typeface="+mj-ea"/>
              <a:cs typeface="+mj-cs"/>
            </a:defRPr>
          </a:pPr>
          <a:endParaRPr lang="en-US"/>
        </a:p>
      </c:txPr>
    </c:title>
    <c:autoTitleDeleted val="0"/>
    <c:plotArea>
      <c:layout>
        <c:manualLayout>
          <c:layoutTarget val="inner"/>
          <c:xMode val="edge"/>
          <c:yMode val="edge"/>
          <c:x val="0.15374597546166724"/>
          <c:y val="0.17592706986346879"/>
          <c:w val="0.51331511583653622"/>
          <c:h val="0.75355924727079382"/>
        </c:manualLayout>
      </c:layout>
      <c:pieChart>
        <c:varyColors val="1"/>
        <c:ser>
          <c:idx val="0"/>
          <c:order val="0"/>
          <c:tx>
            <c:strRef>
              <c:f>'Calcs for dash'!$B$18</c:f>
              <c:strCache>
                <c:ptCount val="1"/>
                <c:pt idx="0">
                  <c:v>Quantity Sold by color</c:v>
                </c:pt>
              </c:strCache>
            </c:strRef>
          </c:tx>
          <c:spPr>
            <a:ln>
              <a:noFill/>
            </a:ln>
          </c:spPr>
          <c:dPt>
            <c:idx val="0"/>
            <c:bubble3D val="0"/>
            <c:spPr>
              <a:gradFill>
                <a:gsLst>
                  <a:gs pos="100000">
                    <a:schemeClr val="accent3">
                      <a:shade val="76000"/>
                      <a:lumMod val="60000"/>
                      <a:lumOff val="40000"/>
                    </a:schemeClr>
                  </a:gs>
                  <a:gs pos="0">
                    <a:schemeClr val="accent3">
                      <a:shade val="76000"/>
                    </a:schemeClr>
                  </a:gs>
                </a:gsLst>
                <a:lin ang="5400000" scaled="0"/>
              </a:gradFill>
              <a:ln w="19050">
                <a:noFill/>
              </a:ln>
              <a:effectLst/>
            </c:spPr>
            <c:extLst>
              <c:ext xmlns:c16="http://schemas.microsoft.com/office/drawing/2014/chart" uri="{C3380CC4-5D6E-409C-BE32-E72D297353CC}">
                <c16:uniqueId val="{00000001-A1BE-4AF7-9298-6B84554C3619}"/>
              </c:ext>
            </c:extLst>
          </c:dPt>
          <c:dPt>
            <c:idx val="1"/>
            <c:bubble3D val="0"/>
            <c:spPr>
              <a:gradFill>
                <a:gsLst>
                  <a:gs pos="100000">
                    <a:schemeClr val="accent3">
                      <a:tint val="77000"/>
                      <a:lumMod val="60000"/>
                      <a:lumOff val="40000"/>
                    </a:schemeClr>
                  </a:gs>
                  <a:gs pos="0">
                    <a:schemeClr val="accent3">
                      <a:tint val="77000"/>
                    </a:schemeClr>
                  </a:gs>
                </a:gsLst>
                <a:lin ang="5400000" scaled="0"/>
              </a:gradFill>
              <a:ln w="19050">
                <a:noFill/>
              </a:ln>
              <a:effectLst/>
            </c:spPr>
            <c:extLst>
              <c:ext xmlns:c16="http://schemas.microsoft.com/office/drawing/2014/chart" uri="{C3380CC4-5D6E-409C-BE32-E72D297353CC}">
                <c16:uniqueId val="{00000003-A1BE-4AF7-9298-6B84554C36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'Calcs for dash'!$A$19:$A$20</c:f>
              <c:strCache>
                <c:ptCount val="2"/>
                <c:pt idx="0">
                  <c:v>Clear</c:v>
                </c:pt>
                <c:pt idx="1">
                  <c:v>Colored</c:v>
                </c:pt>
              </c:strCache>
            </c:strRef>
          </c:cat>
          <c:val>
            <c:numRef>
              <c:f>'Calcs for dash'!$B$19:$B$20</c:f>
              <c:numCache>
                <c:formatCode>#,##0</c:formatCode>
                <c:ptCount val="2"/>
                <c:pt idx="0">
                  <c:v>2906721</c:v>
                </c:pt>
                <c:pt idx="1">
                  <c:v>5817005</c:v>
                </c:pt>
              </c:numCache>
            </c:numRef>
          </c:val>
          <c:extLst>
            <c:ext xmlns:c16="http://schemas.microsoft.com/office/drawing/2014/chart" uri="{C3380CC4-5D6E-409C-BE32-E72D297353CC}">
              <c16:uniqueId val="{00000004-A1BE-4AF7-9298-6B84554C361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196746651727822"/>
          <c:y val="0.17007509477981919"/>
          <c:w val="0.16727594443952934"/>
          <c:h val="0.14378463108778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100" b="1" i="0" u="none" strike="noStrike" kern="1200" spc="0" normalizeH="0" baseline="0">
                <a:solidFill>
                  <a:schemeClr val="bg1"/>
                </a:solidFill>
                <a:latin typeface="Abadi" panose="020B0604020104020204" pitchFamily="34" charset="0"/>
                <a:ea typeface="+mj-ea"/>
                <a:cs typeface="+mj-cs"/>
              </a:defRPr>
            </a:pPr>
            <a:r>
              <a:rPr lang="en-US" sz="1100">
                <a:solidFill>
                  <a:schemeClr val="bg1"/>
                </a:solidFill>
                <a:latin typeface="Abadi" panose="020B0604020104020204" pitchFamily="34" charset="0"/>
              </a:rPr>
              <a:t>Operating Profit by Glass Color(USD)</a:t>
            </a:r>
          </a:p>
        </c:rich>
      </c:tx>
      <c:overlay val="0"/>
      <c:spPr>
        <a:noFill/>
        <a:ln>
          <a:noFill/>
        </a:ln>
        <a:effectLst/>
      </c:spPr>
      <c:txPr>
        <a:bodyPr rot="0" spcFirstLastPara="1" vertOverflow="ellipsis" vert="horz" wrap="square" anchor="ctr" anchorCtr="1"/>
        <a:lstStyle/>
        <a:p>
          <a:pPr>
            <a:defRPr sz="1100" b="1" i="0" u="none" strike="noStrike" kern="1200" spc="0" normalizeH="0" baseline="0">
              <a:solidFill>
                <a:schemeClr val="bg1"/>
              </a:solidFill>
              <a:latin typeface="Abadi" panose="020B0604020104020204" pitchFamily="34" charset="0"/>
              <a:ea typeface="+mj-ea"/>
              <a:cs typeface="+mj-cs"/>
            </a:defRPr>
          </a:pPr>
          <a:endParaRPr lang="en-US"/>
        </a:p>
      </c:txPr>
    </c:title>
    <c:autoTitleDeleted val="0"/>
    <c:plotArea>
      <c:layout>
        <c:manualLayout>
          <c:layoutTarget val="inner"/>
          <c:xMode val="edge"/>
          <c:yMode val="edge"/>
          <c:x val="0.15216199001313691"/>
          <c:y val="0.17719565746148233"/>
          <c:w val="0.55445094009191354"/>
          <c:h val="0.77822075639189747"/>
        </c:manualLayout>
      </c:layout>
      <c:pieChart>
        <c:varyColors val="1"/>
        <c:ser>
          <c:idx val="0"/>
          <c:order val="0"/>
          <c:tx>
            <c:strRef>
              <c:f>'Calcs for dash'!$B$25</c:f>
              <c:strCache>
                <c:ptCount val="1"/>
                <c:pt idx="0">
                  <c:v>Operating Profit by Glass Color(USD)</c:v>
                </c:pt>
              </c:strCache>
            </c:strRef>
          </c:tx>
          <c:spPr>
            <a:ln>
              <a:noFill/>
            </a:ln>
          </c:spPr>
          <c:dPt>
            <c:idx val="0"/>
            <c:bubble3D val="0"/>
            <c:spPr>
              <a:gradFill>
                <a:gsLst>
                  <a:gs pos="100000">
                    <a:schemeClr val="accent3">
                      <a:shade val="76000"/>
                      <a:lumMod val="60000"/>
                      <a:lumOff val="40000"/>
                    </a:schemeClr>
                  </a:gs>
                  <a:gs pos="0">
                    <a:schemeClr val="accent3">
                      <a:shade val="76000"/>
                    </a:schemeClr>
                  </a:gs>
                </a:gsLst>
                <a:lin ang="5400000" scaled="0"/>
              </a:gradFill>
              <a:ln w="19050">
                <a:noFill/>
              </a:ln>
              <a:effectLst/>
            </c:spPr>
            <c:extLst>
              <c:ext xmlns:c16="http://schemas.microsoft.com/office/drawing/2014/chart" uri="{C3380CC4-5D6E-409C-BE32-E72D297353CC}">
                <c16:uniqueId val="{00000001-E5CD-4DA6-9CE2-D783DE865E12}"/>
              </c:ext>
            </c:extLst>
          </c:dPt>
          <c:dPt>
            <c:idx val="1"/>
            <c:bubble3D val="0"/>
            <c:spPr>
              <a:gradFill>
                <a:gsLst>
                  <a:gs pos="100000">
                    <a:schemeClr val="accent3">
                      <a:tint val="77000"/>
                      <a:lumMod val="60000"/>
                      <a:lumOff val="40000"/>
                    </a:schemeClr>
                  </a:gs>
                  <a:gs pos="0">
                    <a:schemeClr val="accent3">
                      <a:tint val="77000"/>
                    </a:schemeClr>
                  </a:gs>
                </a:gsLst>
                <a:lin ang="5400000" scaled="0"/>
              </a:gradFill>
              <a:ln w="19050">
                <a:noFill/>
              </a:ln>
              <a:effectLst/>
            </c:spPr>
            <c:extLst>
              <c:ext xmlns:c16="http://schemas.microsoft.com/office/drawing/2014/chart" uri="{C3380CC4-5D6E-409C-BE32-E72D297353CC}">
                <c16:uniqueId val="{00000003-E5CD-4DA6-9CE2-D783DE865E12}"/>
              </c:ext>
            </c:extLst>
          </c:dPt>
          <c:dLbls>
            <c:dLbl>
              <c:idx val="0"/>
              <c:layout>
                <c:manualLayout>
                  <c:x val="-2.8935975699666754E-2"/>
                  <c:y val="0.1016466170895304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CD-4DA6-9CE2-D783DE865E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'Calcs for dash'!$A$26:$A$27</c:f>
              <c:strCache>
                <c:ptCount val="2"/>
                <c:pt idx="0">
                  <c:v>Clear</c:v>
                </c:pt>
                <c:pt idx="1">
                  <c:v>Colored</c:v>
                </c:pt>
              </c:strCache>
            </c:strRef>
          </c:cat>
          <c:val>
            <c:numRef>
              <c:f>'Calcs for dash'!$B$26:$B$27</c:f>
              <c:numCache>
                <c:formatCode>#,##0</c:formatCode>
                <c:ptCount val="2"/>
                <c:pt idx="0">
                  <c:v>3022.8551863028451</c:v>
                </c:pt>
                <c:pt idx="1">
                  <c:v>62976.67278395949</c:v>
                </c:pt>
              </c:numCache>
            </c:numRef>
          </c:val>
          <c:extLst>
            <c:ext xmlns:c16="http://schemas.microsoft.com/office/drawing/2014/chart" uri="{C3380CC4-5D6E-409C-BE32-E72D297353CC}">
              <c16:uniqueId val="{00000004-E5CD-4DA6-9CE2-D783DE865E1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196733944989171"/>
          <c:y val="0.1510951433196874"/>
          <c:w val="0.16727594443952934"/>
          <c:h val="0.1058244370724592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6033637375689097"/>
          <c:y val="0.18813467677623083"/>
          <c:w val="0.80716161086223404"/>
          <c:h val="0.75437972754214311"/>
        </c:manualLayout>
      </c:layout>
      <c:barChart>
        <c:barDir val="bar"/>
        <c:grouping val="clustered"/>
        <c:varyColors val="0"/>
        <c:ser>
          <c:idx val="0"/>
          <c:order val="0"/>
          <c:tx>
            <c:strRef>
              <c:f>'Calcs for dash'!$B$44</c:f>
              <c:strCache>
                <c:ptCount val="1"/>
                <c:pt idx="0">
                  <c:v>Quantity Sold</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'Calcs for dash'!$A$45:$A$50</c:f>
              <c:strCache>
                <c:ptCount val="6"/>
                <c:pt idx="0">
                  <c:v>Belarus</c:v>
                </c:pt>
                <c:pt idx="1">
                  <c:v>Poland</c:v>
                </c:pt>
                <c:pt idx="2">
                  <c:v>Russia</c:v>
                </c:pt>
                <c:pt idx="3">
                  <c:v>Latvia</c:v>
                </c:pt>
                <c:pt idx="4">
                  <c:v>Lithuania</c:v>
                </c:pt>
                <c:pt idx="5">
                  <c:v>Azerbaijan</c:v>
                </c:pt>
              </c:strCache>
            </c:strRef>
          </c:cat>
          <c:val>
            <c:numRef>
              <c:f>'Calcs for dash'!$B$45:$B$50</c:f>
              <c:numCache>
                <c:formatCode>General</c:formatCode>
                <c:ptCount val="6"/>
                <c:pt idx="0">
                  <c:v>6031812</c:v>
                </c:pt>
                <c:pt idx="1">
                  <c:v>1662800</c:v>
                </c:pt>
                <c:pt idx="2">
                  <c:v>488834</c:v>
                </c:pt>
                <c:pt idx="3">
                  <c:v>341920</c:v>
                </c:pt>
                <c:pt idx="4">
                  <c:v>163800</c:v>
                </c:pt>
                <c:pt idx="5">
                  <c:v>34560</c:v>
                </c:pt>
              </c:numCache>
            </c:numRef>
          </c:val>
          <c:extLst>
            <c:ext xmlns:c16="http://schemas.microsoft.com/office/drawing/2014/chart" uri="{C3380CC4-5D6E-409C-BE32-E72D297353CC}">
              <c16:uniqueId val="{00000000-C1EE-4AE9-B906-E5EE79434FE2}"/>
            </c:ext>
          </c:extLst>
        </c:ser>
        <c:dLbls>
          <c:dLblPos val="outEnd"/>
          <c:showLegendKey val="0"/>
          <c:showVal val="1"/>
          <c:showCatName val="0"/>
          <c:showSerName val="0"/>
          <c:showPercent val="0"/>
          <c:showBubbleSize val="0"/>
        </c:dLbls>
        <c:gapWidth val="326"/>
        <c:overlap val="-58"/>
        <c:axId val="161058463"/>
        <c:axId val="161061343"/>
      </c:barChart>
      <c:catAx>
        <c:axId val="16105846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Abadi" panose="020B0604020104020204" pitchFamily="34" charset="0"/>
                <a:ea typeface="+mn-ea"/>
                <a:cs typeface="+mn-cs"/>
              </a:defRPr>
            </a:pPr>
            <a:endParaRPr lang="en-US"/>
          </a:p>
        </c:txPr>
        <c:crossAx val="161061343"/>
        <c:crosses val="autoZero"/>
        <c:auto val="1"/>
        <c:lblAlgn val="ctr"/>
        <c:lblOffset val="100"/>
        <c:noMultiLvlLbl val="0"/>
      </c:catAx>
      <c:valAx>
        <c:axId val="161061343"/>
        <c:scaling>
          <c:orientation val="minMax"/>
        </c:scaling>
        <c:delete val="1"/>
        <c:axPos val="b"/>
        <c:numFmt formatCode="General" sourceLinked="1"/>
        <c:majorTickMark val="none"/>
        <c:minorTickMark val="none"/>
        <c:tickLblPos val="nextTo"/>
        <c:crossAx val="1610584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latin typeface="Abadi" panose="020B0604020104020204" pitchFamily="34" charset="0"/>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spc="0" normalizeH="0" baseline="0">
                <a:solidFill>
                  <a:schemeClr val="bg1"/>
                </a:solidFill>
                <a:latin typeface="Abadi" panose="020B0604020104020204" pitchFamily="34" charset="0"/>
                <a:ea typeface="+mj-ea"/>
                <a:cs typeface="+mj-cs"/>
              </a:defRPr>
            </a:pPr>
            <a:r>
              <a:rPr lang="en-US" sz="1600">
                <a:solidFill>
                  <a:schemeClr val="bg1"/>
                </a:solidFill>
              </a:rPr>
              <a:t>Product Profitability (%) by Container Volume</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bg1"/>
              </a:solidFill>
              <a:latin typeface="Abadi" panose="020B0604020104020204" pitchFamily="34" charset="0"/>
              <a:ea typeface="+mj-ea"/>
              <a:cs typeface="+mj-cs"/>
            </a:defRPr>
          </a:pPr>
          <a:endParaRPr lang="en-US"/>
        </a:p>
      </c:txPr>
    </c:title>
    <c:autoTitleDeleted val="0"/>
    <c:plotArea>
      <c:layout/>
      <c:barChart>
        <c:barDir val="col"/>
        <c:grouping val="clustered"/>
        <c:varyColors val="0"/>
        <c:ser>
          <c:idx val="0"/>
          <c:order val="0"/>
          <c:tx>
            <c:strRef>
              <c:f>'Calcs for dash'!$B$86</c:f>
              <c:strCache>
                <c:ptCount val="1"/>
                <c:pt idx="0">
                  <c:v>Product  profitability </c:v>
                </c:pt>
              </c:strCache>
            </c:strRef>
          </c:tx>
          <c:spPr>
            <a:gradFill>
              <a:gsLst>
                <a:gs pos="70000">
                  <a:srgbClr val="00B050"/>
                </a:gs>
                <a:gs pos="28692">
                  <a:srgbClr val="095120"/>
                </a:gs>
                <a:gs pos="18000">
                  <a:schemeClr val="accent3">
                    <a:alpha val="68000"/>
                    <a:lumMod val="48000"/>
                  </a:schemeClr>
                </a:gs>
                <a:gs pos="100000">
                  <a:schemeClr val="bg1">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'Calcs for dash'!$A$87:$A$91</c:f>
              <c:strCache>
                <c:ptCount val="5"/>
                <c:pt idx="0">
                  <c:v>0.375 liter</c:v>
                </c:pt>
                <c:pt idx="1">
                  <c:v>0.5 liter</c:v>
                </c:pt>
                <c:pt idx="2">
                  <c:v>0.568 liter</c:v>
                </c:pt>
                <c:pt idx="3">
                  <c:v>0.7 liter</c:v>
                </c:pt>
                <c:pt idx="4">
                  <c:v>0.75 liter</c:v>
                </c:pt>
              </c:strCache>
            </c:strRef>
          </c:cat>
          <c:val>
            <c:numRef>
              <c:f>'Calcs for dash'!$B$87:$B$91</c:f>
              <c:numCache>
                <c:formatCode>0.0%</c:formatCode>
                <c:ptCount val="5"/>
                <c:pt idx="0">
                  <c:v>0.22732016810085626</c:v>
                </c:pt>
                <c:pt idx="1">
                  <c:v>1.4196503369142379E-2</c:v>
                </c:pt>
                <c:pt idx="2">
                  <c:v>-4.7496940945632192E-2</c:v>
                </c:pt>
                <c:pt idx="3">
                  <c:v>8.7121044422518584E-2</c:v>
                </c:pt>
                <c:pt idx="4">
                  <c:v>0.11043464198533787</c:v>
                </c:pt>
              </c:numCache>
            </c:numRef>
          </c:val>
          <c:extLst>
            <c:ext xmlns:c16="http://schemas.microsoft.com/office/drawing/2014/chart" uri="{C3380CC4-5D6E-409C-BE32-E72D297353CC}">
              <c16:uniqueId val="{00000000-5BED-462A-8519-001672282E9E}"/>
            </c:ext>
          </c:extLst>
        </c:ser>
        <c:dLbls>
          <c:dLblPos val="outEnd"/>
          <c:showLegendKey val="0"/>
          <c:showVal val="1"/>
          <c:showCatName val="0"/>
          <c:showSerName val="0"/>
          <c:showPercent val="0"/>
          <c:showBubbleSize val="0"/>
        </c:dLbls>
        <c:gapWidth val="269"/>
        <c:overlap val="-27"/>
        <c:axId val="399305007"/>
        <c:axId val="399321327"/>
      </c:barChart>
      <c:lineChart>
        <c:grouping val="standard"/>
        <c:varyColors val="0"/>
        <c:ser>
          <c:idx val="1"/>
          <c:order val="1"/>
          <c:tx>
            <c:strRef>
              <c:f>'Calcs for dash'!$C$86</c:f>
              <c:strCache>
                <c:ptCount val="1"/>
                <c:pt idx="0">
                  <c:v>Product  profitability (target)</c:v>
                </c:pt>
              </c:strCache>
            </c:strRef>
          </c:tx>
          <c:spPr>
            <a:ln w="31750" cap="sq">
              <a:solidFill>
                <a:schemeClr val="bg1">
                  <a:alpha val="74000"/>
                </a:schemeClr>
              </a:solidFill>
              <a:prstDash val="lgDash"/>
              <a:round/>
            </a:ln>
            <a:effectLst/>
          </c:spPr>
          <c:marker>
            <c:symbol val="none"/>
          </c:marker>
          <c:dLbls>
            <c:delete val="1"/>
          </c:dLbls>
          <c:cat>
            <c:strRef>
              <c:f>'Calcs for dash'!$A$87:$A$91</c:f>
              <c:strCache>
                <c:ptCount val="5"/>
                <c:pt idx="0">
                  <c:v>0.375 liter</c:v>
                </c:pt>
                <c:pt idx="1">
                  <c:v>0.5 liter</c:v>
                </c:pt>
                <c:pt idx="2">
                  <c:v>0.568 liter</c:v>
                </c:pt>
                <c:pt idx="3">
                  <c:v>0.7 liter</c:v>
                </c:pt>
                <c:pt idx="4">
                  <c:v>0.75 liter</c:v>
                </c:pt>
              </c:strCache>
            </c:strRef>
          </c:cat>
          <c:val>
            <c:numRef>
              <c:f>'Calcs for dash'!$C$87:$C$91</c:f>
              <c:numCache>
                <c:formatCode>0%</c:formatCode>
                <c:ptCount val="5"/>
                <c:pt idx="0">
                  <c:v>0.1</c:v>
                </c:pt>
                <c:pt idx="1">
                  <c:v>0.1</c:v>
                </c:pt>
                <c:pt idx="2">
                  <c:v>0.1</c:v>
                </c:pt>
                <c:pt idx="3">
                  <c:v>0.1</c:v>
                </c:pt>
                <c:pt idx="4">
                  <c:v>0.1</c:v>
                </c:pt>
              </c:numCache>
            </c:numRef>
          </c:val>
          <c:smooth val="0"/>
          <c:extLst>
            <c:ext xmlns:c16="http://schemas.microsoft.com/office/drawing/2014/chart" uri="{C3380CC4-5D6E-409C-BE32-E72D297353CC}">
              <c16:uniqueId val="{00000001-5BED-462A-8519-001672282E9E}"/>
            </c:ext>
          </c:extLst>
        </c:ser>
        <c:dLbls>
          <c:showLegendKey val="0"/>
          <c:showVal val="1"/>
          <c:showCatName val="0"/>
          <c:showSerName val="0"/>
          <c:showPercent val="0"/>
          <c:showBubbleSize val="0"/>
        </c:dLbls>
        <c:marker val="1"/>
        <c:smooth val="0"/>
        <c:axId val="399330927"/>
        <c:axId val="399331407"/>
      </c:lineChart>
      <c:catAx>
        <c:axId val="399305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solidFill>
                  <a:schemeClr val="bg1"/>
                </a:solidFill>
                <a:latin typeface="Abadi" panose="020B0604020104020204" pitchFamily="34" charset="0"/>
                <a:ea typeface="+mn-ea"/>
                <a:cs typeface="+mn-cs"/>
              </a:defRPr>
            </a:pPr>
            <a:endParaRPr lang="en-US"/>
          </a:p>
        </c:txPr>
        <c:crossAx val="399321327"/>
        <c:crosses val="autoZero"/>
        <c:auto val="1"/>
        <c:lblAlgn val="ctr"/>
        <c:lblOffset val="100"/>
        <c:noMultiLvlLbl val="0"/>
      </c:catAx>
      <c:valAx>
        <c:axId val="399321327"/>
        <c:scaling>
          <c:orientation val="minMax"/>
          <c:min val="-5.000000000000001E-2"/>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1"/>
                </a:solidFill>
                <a:latin typeface="Abadi" panose="020B0604020104020204" pitchFamily="34" charset="0"/>
                <a:ea typeface="+mn-ea"/>
                <a:cs typeface="+mn-cs"/>
              </a:defRPr>
            </a:pPr>
            <a:endParaRPr lang="en-US"/>
          </a:p>
        </c:txPr>
        <c:crossAx val="399305007"/>
        <c:crosses val="autoZero"/>
        <c:crossBetween val="between"/>
      </c:valAx>
      <c:valAx>
        <c:axId val="399331407"/>
        <c:scaling>
          <c:orientation val="minMax"/>
        </c:scaling>
        <c:delete val="1"/>
        <c:axPos val="r"/>
        <c:numFmt formatCode="0%" sourceLinked="1"/>
        <c:majorTickMark val="none"/>
        <c:minorTickMark val="none"/>
        <c:tickLblPos val="nextTo"/>
        <c:crossAx val="399330927"/>
        <c:crosses val="max"/>
        <c:crossBetween val="between"/>
      </c:valAx>
      <c:catAx>
        <c:axId val="399330927"/>
        <c:scaling>
          <c:orientation val="minMax"/>
        </c:scaling>
        <c:delete val="1"/>
        <c:axPos val="b"/>
        <c:numFmt formatCode="General" sourceLinked="1"/>
        <c:majorTickMark val="out"/>
        <c:minorTickMark val="none"/>
        <c:tickLblPos val="nextTo"/>
        <c:crossAx val="3993314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badi" panose="020B0604020104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Abadi" panose="020B0604020104020204" pitchFamily="34" charset="0"/>
                <a:ea typeface="+mj-ea"/>
                <a:cs typeface="+mj-cs"/>
              </a:defRPr>
            </a:pPr>
            <a:r>
              <a:rPr lang="en-US">
                <a:latin typeface="Abadi" panose="020B0604020104020204" pitchFamily="34" charset="0"/>
              </a:rPr>
              <a:t>Quantity Sold by Glass Color</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Abadi" panose="020B0604020104020204" pitchFamily="34" charset="0"/>
              <a:ea typeface="+mj-ea"/>
              <a:cs typeface="+mj-cs"/>
            </a:defRPr>
          </a:pPr>
          <a:endParaRPr lang="en-US"/>
        </a:p>
      </c:txPr>
    </c:title>
    <c:autoTitleDeleted val="0"/>
    <c:plotArea>
      <c:layout/>
      <c:pieChart>
        <c:varyColors val="1"/>
        <c:ser>
          <c:idx val="0"/>
          <c:order val="0"/>
          <c:tx>
            <c:strRef>
              <c:f>'Calcs for dash'!$B$18</c:f>
              <c:strCache>
                <c:ptCount val="1"/>
                <c:pt idx="0">
                  <c:v>Quantity Sold by color</c:v>
                </c:pt>
              </c:strCache>
            </c:strRef>
          </c:tx>
          <c:spPr>
            <a:ln>
              <a:noFill/>
            </a:ln>
          </c:spPr>
          <c:dPt>
            <c:idx val="0"/>
            <c:bubble3D val="0"/>
            <c:spPr>
              <a:gradFill>
                <a:gsLst>
                  <a:gs pos="100000">
                    <a:schemeClr val="accent3">
                      <a:shade val="76000"/>
                      <a:lumMod val="60000"/>
                      <a:lumOff val="40000"/>
                    </a:schemeClr>
                  </a:gs>
                  <a:gs pos="0">
                    <a:schemeClr val="accent3">
                      <a:shade val="76000"/>
                    </a:schemeClr>
                  </a:gs>
                </a:gsLst>
                <a:lin ang="5400000" scaled="0"/>
              </a:gradFill>
              <a:ln w="19050">
                <a:noFill/>
              </a:ln>
              <a:effectLst/>
            </c:spPr>
            <c:extLst>
              <c:ext xmlns:c16="http://schemas.microsoft.com/office/drawing/2014/chart" uri="{C3380CC4-5D6E-409C-BE32-E72D297353CC}">
                <c16:uniqueId val="{00000001-3490-449A-8645-EAF0304E6C1E}"/>
              </c:ext>
            </c:extLst>
          </c:dPt>
          <c:dPt>
            <c:idx val="1"/>
            <c:bubble3D val="0"/>
            <c:spPr>
              <a:gradFill>
                <a:gsLst>
                  <a:gs pos="100000">
                    <a:schemeClr val="accent3">
                      <a:tint val="77000"/>
                      <a:lumMod val="60000"/>
                      <a:lumOff val="40000"/>
                    </a:schemeClr>
                  </a:gs>
                  <a:gs pos="0">
                    <a:schemeClr val="accent3">
                      <a:tint val="77000"/>
                    </a:schemeClr>
                  </a:gs>
                </a:gsLst>
                <a:lin ang="5400000" scaled="0"/>
              </a:gradFill>
              <a:ln w="19050">
                <a:noFill/>
              </a:ln>
              <a:effectLst/>
            </c:spPr>
            <c:extLst>
              <c:ext xmlns:c16="http://schemas.microsoft.com/office/drawing/2014/chart" uri="{C3380CC4-5D6E-409C-BE32-E72D297353CC}">
                <c16:uniqueId val="{00000003-3490-449A-8645-EAF0304E6C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'Calcs for dash'!$A$19:$A$20</c:f>
              <c:strCache>
                <c:ptCount val="2"/>
                <c:pt idx="0">
                  <c:v>Clear</c:v>
                </c:pt>
                <c:pt idx="1">
                  <c:v>Colored</c:v>
                </c:pt>
              </c:strCache>
            </c:strRef>
          </c:cat>
          <c:val>
            <c:numRef>
              <c:f>'Calcs for dash'!$B$19:$B$20</c:f>
              <c:numCache>
                <c:formatCode>#,##0</c:formatCode>
                <c:ptCount val="2"/>
                <c:pt idx="0">
                  <c:v>2906721</c:v>
                </c:pt>
                <c:pt idx="1">
                  <c:v>5817005</c:v>
                </c:pt>
              </c:numCache>
            </c:numRef>
          </c:val>
          <c:extLst>
            <c:ext xmlns:c16="http://schemas.microsoft.com/office/drawing/2014/chart" uri="{C3380CC4-5D6E-409C-BE32-E72D297353CC}">
              <c16:uniqueId val="{00000000-F6DF-4197-849C-A4668DDE88F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196746651727822"/>
          <c:y val="0.17007509477981919"/>
          <c:w val="0.14567083224186017"/>
          <c:h val="0.1437846310877807"/>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Abadi" panose="020B0604020104020204" pitchFamily="34" charset="0"/>
                <a:ea typeface="+mj-ea"/>
                <a:cs typeface="+mj-cs"/>
              </a:defRPr>
            </a:pPr>
            <a:r>
              <a:rPr lang="en-US">
                <a:latin typeface="Abadi" panose="020B0604020104020204" pitchFamily="34" charset="0"/>
              </a:rPr>
              <a:t>Operating Profit by Glass Color(USD)</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Abadi" panose="020B0604020104020204" pitchFamily="34" charset="0"/>
              <a:ea typeface="+mj-ea"/>
              <a:cs typeface="+mj-cs"/>
            </a:defRPr>
          </a:pPr>
          <a:endParaRPr lang="en-US"/>
        </a:p>
      </c:txPr>
    </c:title>
    <c:autoTitleDeleted val="0"/>
    <c:plotArea>
      <c:layout/>
      <c:pieChart>
        <c:varyColors val="1"/>
        <c:ser>
          <c:idx val="0"/>
          <c:order val="0"/>
          <c:tx>
            <c:strRef>
              <c:f>'Calcs for dash'!$B$25</c:f>
              <c:strCache>
                <c:ptCount val="1"/>
                <c:pt idx="0">
                  <c:v>Operating Profit by Glass Color(USD)</c:v>
                </c:pt>
              </c:strCache>
            </c:strRef>
          </c:tx>
          <c:spPr>
            <a:ln>
              <a:noFill/>
            </a:ln>
          </c:spPr>
          <c:dPt>
            <c:idx val="0"/>
            <c:bubble3D val="0"/>
            <c:spPr>
              <a:gradFill>
                <a:gsLst>
                  <a:gs pos="100000">
                    <a:schemeClr val="accent3">
                      <a:shade val="76000"/>
                      <a:lumMod val="60000"/>
                      <a:lumOff val="40000"/>
                    </a:schemeClr>
                  </a:gs>
                  <a:gs pos="0">
                    <a:schemeClr val="accent3">
                      <a:shade val="76000"/>
                    </a:schemeClr>
                  </a:gs>
                </a:gsLst>
                <a:lin ang="5400000" scaled="0"/>
              </a:gradFill>
              <a:ln w="19050">
                <a:noFill/>
              </a:ln>
              <a:effectLst/>
            </c:spPr>
            <c:extLst>
              <c:ext xmlns:c16="http://schemas.microsoft.com/office/drawing/2014/chart" uri="{C3380CC4-5D6E-409C-BE32-E72D297353CC}">
                <c16:uniqueId val="{00000001-9626-4B59-8AC8-36C87348C39C}"/>
              </c:ext>
            </c:extLst>
          </c:dPt>
          <c:dPt>
            <c:idx val="1"/>
            <c:bubble3D val="0"/>
            <c:spPr>
              <a:gradFill>
                <a:gsLst>
                  <a:gs pos="100000">
                    <a:schemeClr val="accent3">
                      <a:tint val="77000"/>
                      <a:lumMod val="60000"/>
                      <a:lumOff val="40000"/>
                    </a:schemeClr>
                  </a:gs>
                  <a:gs pos="0">
                    <a:schemeClr val="accent3">
                      <a:tint val="77000"/>
                    </a:schemeClr>
                  </a:gs>
                </a:gsLst>
                <a:lin ang="5400000" scaled="0"/>
              </a:gradFill>
              <a:ln w="19050">
                <a:noFill/>
              </a:ln>
              <a:effectLst/>
            </c:spPr>
            <c:extLst>
              <c:ext xmlns:c16="http://schemas.microsoft.com/office/drawing/2014/chart" uri="{C3380CC4-5D6E-409C-BE32-E72D297353CC}">
                <c16:uniqueId val="{00000003-9626-4B59-8AC8-36C87348C39C}"/>
              </c:ext>
            </c:extLst>
          </c:dPt>
          <c:dLbls>
            <c:dLbl>
              <c:idx val="0"/>
              <c:layout>
                <c:manualLayout>
                  <c:x val="-2.8935975699666754E-2"/>
                  <c:y val="0.1016466170895304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26-4B59-8AC8-36C87348C3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badi" panose="020B0604020104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'Calcs for dash'!$A$26:$A$27</c:f>
              <c:strCache>
                <c:ptCount val="2"/>
                <c:pt idx="0">
                  <c:v>Clear</c:v>
                </c:pt>
                <c:pt idx="1">
                  <c:v>Colored</c:v>
                </c:pt>
              </c:strCache>
            </c:strRef>
          </c:cat>
          <c:val>
            <c:numRef>
              <c:f>'Calcs for dash'!$B$26:$B$27</c:f>
              <c:numCache>
                <c:formatCode>#,##0</c:formatCode>
                <c:ptCount val="2"/>
                <c:pt idx="0">
                  <c:v>3022.8551863028451</c:v>
                </c:pt>
                <c:pt idx="1">
                  <c:v>62976.67278395949</c:v>
                </c:pt>
              </c:numCache>
            </c:numRef>
          </c:val>
          <c:extLst>
            <c:ext xmlns:c16="http://schemas.microsoft.com/office/drawing/2014/chart" uri="{C3380CC4-5D6E-409C-BE32-E72D297353CC}">
              <c16:uniqueId val="{00000004-9626-4B59-8AC8-36C87348C39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196746651727822"/>
          <c:y val="0.17007509477981919"/>
          <c:w val="0.16727594443952934"/>
          <c:h val="0.1437846310877807"/>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Abadi" panose="020B0604020104020204" pitchFamily="34" charset="0"/>
                <a:ea typeface="+mn-ea"/>
                <a:cs typeface="+mn-cs"/>
              </a:defRPr>
            </a:pPr>
            <a:r>
              <a:rPr lang="en-US">
                <a:latin typeface="Abadi" panose="020B0604020104020204" pitchFamily="34" charset="0"/>
              </a:rPr>
              <a:t>Quantity Sold</a:t>
            </a:r>
          </a:p>
        </c:rich>
      </c:tx>
      <c:overlay val="0"/>
      <c:spPr>
        <a:noFill/>
        <a:ln>
          <a:solidFill>
            <a:schemeClr val="accent1">
              <a:alpha val="96000"/>
            </a:schemeClr>
          </a:solid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Abadi" panose="020B0604020104020204" pitchFamily="34" charset="0"/>
              <a:ea typeface="+mn-ea"/>
              <a:cs typeface="+mn-cs"/>
            </a:defRPr>
          </a:pPr>
          <a:endParaRPr lang="en-US"/>
        </a:p>
      </c:txPr>
    </c:title>
    <c:autoTitleDeleted val="0"/>
    <c:plotArea>
      <c:layout/>
      <c:barChart>
        <c:barDir val="bar"/>
        <c:grouping val="clustered"/>
        <c:varyColors val="0"/>
        <c:ser>
          <c:idx val="0"/>
          <c:order val="0"/>
          <c:tx>
            <c:strRef>
              <c:f>'Calcs for dash'!$B$44</c:f>
              <c:strCache>
                <c:ptCount val="1"/>
                <c:pt idx="0">
                  <c:v>Quantity Sold</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'Calcs for dash'!$A$45:$A$50</c:f>
              <c:strCache>
                <c:ptCount val="6"/>
                <c:pt idx="0">
                  <c:v>Belarus</c:v>
                </c:pt>
                <c:pt idx="1">
                  <c:v>Poland</c:v>
                </c:pt>
                <c:pt idx="2">
                  <c:v>Russia</c:v>
                </c:pt>
                <c:pt idx="3">
                  <c:v>Latvia</c:v>
                </c:pt>
                <c:pt idx="4">
                  <c:v>Lithuania</c:v>
                </c:pt>
                <c:pt idx="5">
                  <c:v>Azerbaijan</c:v>
                </c:pt>
              </c:strCache>
            </c:strRef>
          </c:cat>
          <c:val>
            <c:numRef>
              <c:f>'Calcs for dash'!$B$45:$B$50</c:f>
              <c:numCache>
                <c:formatCode>General</c:formatCode>
                <c:ptCount val="6"/>
                <c:pt idx="0">
                  <c:v>6031812</c:v>
                </c:pt>
                <c:pt idx="1">
                  <c:v>1662800</c:v>
                </c:pt>
                <c:pt idx="2">
                  <c:v>488834</c:v>
                </c:pt>
                <c:pt idx="3">
                  <c:v>341920</c:v>
                </c:pt>
                <c:pt idx="4">
                  <c:v>163800</c:v>
                </c:pt>
                <c:pt idx="5">
                  <c:v>34560</c:v>
                </c:pt>
              </c:numCache>
            </c:numRef>
          </c:val>
          <c:extLst>
            <c:ext xmlns:c16="http://schemas.microsoft.com/office/drawing/2014/chart" uri="{C3380CC4-5D6E-409C-BE32-E72D297353CC}">
              <c16:uniqueId val="{00000000-1DF7-4B23-A606-9A0B66A0411F}"/>
            </c:ext>
          </c:extLst>
        </c:ser>
        <c:dLbls>
          <c:dLblPos val="outEnd"/>
          <c:showLegendKey val="0"/>
          <c:showVal val="1"/>
          <c:showCatName val="0"/>
          <c:showSerName val="0"/>
          <c:showPercent val="0"/>
          <c:showBubbleSize val="0"/>
        </c:dLbls>
        <c:gapWidth val="326"/>
        <c:overlap val="-58"/>
        <c:axId val="161058463"/>
        <c:axId val="161061343"/>
      </c:barChart>
      <c:catAx>
        <c:axId val="16105846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161061343"/>
        <c:crosses val="autoZero"/>
        <c:auto val="1"/>
        <c:lblAlgn val="ctr"/>
        <c:lblOffset val="100"/>
        <c:noMultiLvlLbl val="0"/>
      </c:catAx>
      <c:valAx>
        <c:axId val="161061343"/>
        <c:scaling>
          <c:orientation val="minMax"/>
        </c:scaling>
        <c:delete val="1"/>
        <c:axPos val="b"/>
        <c:numFmt formatCode="General" sourceLinked="1"/>
        <c:majorTickMark val="none"/>
        <c:minorTickMark val="none"/>
        <c:tickLblPos val="nextTo"/>
        <c:crossAx val="1610584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Abadi" panose="020B0604020104020204" pitchFamily="34" charset="0"/>
                <a:ea typeface="+mj-ea"/>
                <a:cs typeface="+mj-cs"/>
              </a:defRPr>
            </a:pPr>
            <a:r>
              <a:rPr lang="en-US" sz="1600"/>
              <a:t>Product Profitability (%) by Container Volume</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Abadi" panose="020B0604020104020204" pitchFamily="34" charset="0"/>
              <a:ea typeface="+mj-ea"/>
              <a:cs typeface="+mj-cs"/>
            </a:defRPr>
          </a:pPr>
          <a:endParaRPr lang="en-US"/>
        </a:p>
      </c:txPr>
    </c:title>
    <c:autoTitleDeleted val="0"/>
    <c:plotArea>
      <c:layout/>
      <c:barChart>
        <c:barDir val="col"/>
        <c:grouping val="clustered"/>
        <c:varyColors val="0"/>
        <c:ser>
          <c:idx val="0"/>
          <c:order val="0"/>
          <c:tx>
            <c:strRef>
              <c:f>'Calcs for dash'!$B$86</c:f>
              <c:strCache>
                <c:ptCount val="1"/>
                <c:pt idx="0">
                  <c:v>Product  profitability </c:v>
                </c:pt>
              </c:strCache>
            </c:strRef>
          </c:tx>
          <c:spPr>
            <a:solidFill>
              <a:schemeClr val="accent3">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'Calcs for dash'!$A$87:$A$91</c:f>
              <c:strCache>
                <c:ptCount val="5"/>
                <c:pt idx="0">
                  <c:v>0.375 liter</c:v>
                </c:pt>
                <c:pt idx="1">
                  <c:v>0.5 liter</c:v>
                </c:pt>
                <c:pt idx="2">
                  <c:v>0.568 liter</c:v>
                </c:pt>
                <c:pt idx="3">
                  <c:v>0.7 liter</c:v>
                </c:pt>
                <c:pt idx="4">
                  <c:v>0.75 liter</c:v>
                </c:pt>
              </c:strCache>
            </c:strRef>
          </c:cat>
          <c:val>
            <c:numRef>
              <c:f>'Calcs for dash'!$B$87:$B$91</c:f>
              <c:numCache>
                <c:formatCode>0.0%</c:formatCode>
                <c:ptCount val="5"/>
                <c:pt idx="0">
                  <c:v>0.22732016810085626</c:v>
                </c:pt>
                <c:pt idx="1">
                  <c:v>1.4196503369142379E-2</c:v>
                </c:pt>
                <c:pt idx="2">
                  <c:v>-4.7496940945632192E-2</c:v>
                </c:pt>
                <c:pt idx="3">
                  <c:v>8.7121044422518584E-2</c:v>
                </c:pt>
                <c:pt idx="4">
                  <c:v>0.11043464198533787</c:v>
                </c:pt>
              </c:numCache>
            </c:numRef>
          </c:val>
          <c:extLst>
            <c:ext xmlns:c16="http://schemas.microsoft.com/office/drawing/2014/chart" uri="{C3380CC4-5D6E-409C-BE32-E72D297353CC}">
              <c16:uniqueId val="{00000000-39B5-4F68-9630-06E3E218E705}"/>
            </c:ext>
          </c:extLst>
        </c:ser>
        <c:dLbls>
          <c:dLblPos val="outEnd"/>
          <c:showLegendKey val="0"/>
          <c:showVal val="1"/>
          <c:showCatName val="0"/>
          <c:showSerName val="0"/>
          <c:showPercent val="0"/>
          <c:showBubbleSize val="0"/>
        </c:dLbls>
        <c:gapWidth val="269"/>
        <c:overlap val="-27"/>
        <c:axId val="399305007"/>
        <c:axId val="399321327"/>
      </c:barChart>
      <c:lineChart>
        <c:grouping val="standard"/>
        <c:varyColors val="0"/>
        <c:ser>
          <c:idx val="1"/>
          <c:order val="1"/>
          <c:tx>
            <c:strRef>
              <c:f>'Calcs for dash'!$C$86</c:f>
              <c:strCache>
                <c:ptCount val="1"/>
                <c:pt idx="0">
                  <c:v>Product  profitability (target)</c:v>
                </c:pt>
              </c:strCache>
            </c:strRef>
          </c:tx>
          <c:spPr>
            <a:ln w="31750" cap="sq">
              <a:solidFill>
                <a:schemeClr val="accent3">
                  <a:tint val="77000"/>
                  <a:alpha val="74000"/>
                </a:schemeClr>
              </a:solidFill>
              <a:prstDash val="lgDash"/>
              <a:round/>
            </a:ln>
            <a:effectLst/>
          </c:spPr>
          <c:marker>
            <c:symbol val="none"/>
          </c:marker>
          <c:dLbls>
            <c:delete val="1"/>
          </c:dLbls>
          <c:cat>
            <c:strRef>
              <c:f>'Calcs for dash'!$A$87:$A$91</c:f>
              <c:strCache>
                <c:ptCount val="5"/>
                <c:pt idx="0">
                  <c:v>0.375 liter</c:v>
                </c:pt>
                <c:pt idx="1">
                  <c:v>0.5 liter</c:v>
                </c:pt>
                <c:pt idx="2">
                  <c:v>0.568 liter</c:v>
                </c:pt>
                <c:pt idx="3">
                  <c:v>0.7 liter</c:v>
                </c:pt>
                <c:pt idx="4">
                  <c:v>0.75 liter</c:v>
                </c:pt>
              </c:strCache>
            </c:strRef>
          </c:cat>
          <c:val>
            <c:numRef>
              <c:f>'Calcs for dash'!$C$87:$C$91</c:f>
              <c:numCache>
                <c:formatCode>0%</c:formatCode>
                <c:ptCount val="5"/>
                <c:pt idx="0">
                  <c:v>0.1</c:v>
                </c:pt>
                <c:pt idx="1">
                  <c:v>0.1</c:v>
                </c:pt>
                <c:pt idx="2">
                  <c:v>0.1</c:v>
                </c:pt>
                <c:pt idx="3">
                  <c:v>0.1</c:v>
                </c:pt>
                <c:pt idx="4">
                  <c:v>0.1</c:v>
                </c:pt>
              </c:numCache>
            </c:numRef>
          </c:val>
          <c:smooth val="0"/>
          <c:extLst>
            <c:ext xmlns:c16="http://schemas.microsoft.com/office/drawing/2014/chart" uri="{C3380CC4-5D6E-409C-BE32-E72D297353CC}">
              <c16:uniqueId val="{00000001-39B5-4F68-9630-06E3E218E705}"/>
            </c:ext>
          </c:extLst>
        </c:ser>
        <c:dLbls>
          <c:showLegendKey val="0"/>
          <c:showVal val="1"/>
          <c:showCatName val="0"/>
          <c:showSerName val="0"/>
          <c:showPercent val="0"/>
          <c:showBubbleSize val="0"/>
        </c:dLbls>
        <c:marker val="1"/>
        <c:smooth val="0"/>
        <c:axId val="399330927"/>
        <c:axId val="399331407"/>
      </c:lineChart>
      <c:catAx>
        <c:axId val="399305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Abadi" panose="020B0604020104020204" pitchFamily="34" charset="0"/>
                <a:ea typeface="+mn-ea"/>
                <a:cs typeface="+mn-cs"/>
              </a:defRPr>
            </a:pPr>
            <a:endParaRPr lang="en-US"/>
          </a:p>
        </c:txPr>
        <c:crossAx val="399321327"/>
        <c:crosses val="autoZero"/>
        <c:auto val="1"/>
        <c:lblAlgn val="ctr"/>
        <c:lblOffset val="100"/>
        <c:noMultiLvlLbl val="0"/>
      </c:catAx>
      <c:valAx>
        <c:axId val="399321327"/>
        <c:scaling>
          <c:orientation val="minMax"/>
          <c:min val="-5.000000000000001E-2"/>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crossAx val="399305007"/>
        <c:crosses val="autoZero"/>
        <c:crossBetween val="between"/>
      </c:valAx>
      <c:valAx>
        <c:axId val="399331407"/>
        <c:scaling>
          <c:orientation val="minMax"/>
        </c:scaling>
        <c:delete val="1"/>
        <c:axPos val="r"/>
        <c:numFmt formatCode="0%" sourceLinked="1"/>
        <c:majorTickMark val="none"/>
        <c:minorTickMark val="none"/>
        <c:tickLblPos val="nextTo"/>
        <c:crossAx val="399330927"/>
        <c:crosses val="max"/>
        <c:crossBetween val="between"/>
      </c:valAx>
      <c:catAx>
        <c:axId val="399330927"/>
        <c:scaling>
          <c:orientation val="minMax"/>
        </c:scaling>
        <c:delete val="1"/>
        <c:axPos val="b"/>
        <c:numFmt formatCode="General" sourceLinked="1"/>
        <c:majorTickMark val="out"/>
        <c:minorTickMark val="none"/>
        <c:tickLblPos val="nextTo"/>
        <c:crossAx val="3993314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Abadi" panose="020B0604020104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310815</xdr:colOff>
      <xdr:row>42</xdr:row>
      <xdr:rowOff>140369</xdr:rowOff>
    </xdr:from>
    <xdr:to>
      <xdr:col>9</xdr:col>
      <xdr:colOff>521368</xdr:colOff>
      <xdr:row>44</xdr:row>
      <xdr:rowOff>130342</xdr:rowOff>
    </xdr:to>
    <xdr:sp macro="" textlink="">
      <xdr:nvSpPr>
        <xdr:cNvPr id="2" name="TextBox 1">
          <a:extLst>
            <a:ext uri="{FF2B5EF4-FFF2-40B4-BE49-F238E27FC236}">
              <a16:creationId xmlns:a16="http://schemas.microsoft.com/office/drawing/2014/main" id="{87BE7049-3E69-2850-EC49-46773AC4C39D}"/>
            </a:ext>
          </a:extLst>
        </xdr:cNvPr>
        <xdr:cNvSpPr txBox="1"/>
      </xdr:nvSpPr>
      <xdr:spPr>
        <a:xfrm>
          <a:off x="310815" y="8091237"/>
          <a:ext cx="9053764" cy="350921"/>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0000"/>
              </a:solidFill>
            </a:rPr>
            <a:t>The</a:t>
          </a:r>
          <a:r>
            <a:rPr lang="en-US" sz="1400" b="1" baseline="0">
              <a:solidFill>
                <a:srgbClr val="FF0000"/>
              </a:solidFill>
            </a:rPr>
            <a:t> cells which needed to be corrected or cleaned are highlighted with dark grey color.</a:t>
          </a:r>
          <a:endParaRPr lang="en-US" sz="1400" b="1">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178889</xdr:colOff>
      <xdr:row>43</xdr:row>
      <xdr:rowOff>29029</xdr:rowOff>
    </xdr:from>
    <xdr:to>
      <xdr:col>12</xdr:col>
      <xdr:colOff>186509</xdr:colOff>
      <xdr:row>50</xdr:row>
      <xdr:rowOff>82369</xdr:rowOff>
    </xdr:to>
    <xdr:sp macro="" textlink="">
      <xdr:nvSpPr>
        <xdr:cNvPr id="2" name="TextBox 1">
          <a:extLst>
            <a:ext uri="{FF2B5EF4-FFF2-40B4-BE49-F238E27FC236}">
              <a16:creationId xmlns:a16="http://schemas.microsoft.com/office/drawing/2014/main" id="{00000000-0008-0000-0200-000002000000}"/>
            </a:ext>
          </a:extLst>
        </xdr:cNvPr>
        <xdr:cNvSpPr>
          <a:spLocks noGrp="1"/>
        </xdr:cNvSpPr>
      </xdr:nvSpPr>
      <xdr:spPr>
        <a:xfrm>
          <a:off x="178889" y="8102600"/>
          <a:ext cx="10757263" cy="1323340"/>
        </a:xfrm>
        <a:prstGeom prst="rect">
          <a:avLst/>
        </a:prstGeom>
        <a:solidFill>
          <a:schemeClr val="tx2">
            <a:lumMod val="25000"/>
            <a:lumOff val="75000"/>
          </a:schemeClr>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t"/>
        <a:lstStyle/>
        <a:p>
          <a:r>
            <a:rPr lang="en-US" sz="1400" b="1">
              <a:solidFill>
                <a:sysClr val="windowText" lastClr="000000"/>
              </a:solidFill>
            </a:rPr>
            <a:t>In</a:t>
          </a:r>
          <a:r>
            <a:rPr lang="en-US" sz="1400" b="1" baseline="0">
              <a:solidFill>
                <a:sysClr val="windowText" lastClr="000000"/>
              </a:solidFill>
            </a:rPr>
            <a:t> purpose of cleaning and preparing the data for analysis the following tools were used</a:t>
          </a:r>
          <a:r>
            <a:rPr sz="1400" b="1">
              <a:solidFill>
                <a:sysClr val="windowText" lastClr="000000"/>
              </a:solidFill>
            </a:rPr>
            <a:t>:</a:t>
          </a:r>
        </a:p>
        <a:p>
          <a:r>
            <a:rPr sz="1400" b="1">
              <a:solidFill>
                <a:sysClr val="windowText" lastClr="000000"/>
              </a:solidFill>
            </a:rPr>
            <a:t>1. Tool 'Find&amp;Select' for deleting  symbols '</a:t>
          </a:r>
          <a:r>
            <a:rPr lang="en-US" sz="1400" b="1">
              <a:solidFill>
                <a:sysClr val="windowText" lastClr="000000"/>
              </a:solidFill>
            </a:rPr>
            <a:t>∞</a:t>
          </a:r>
          <a:r>
            <a:rPr sz="1400" b="1">
              <a:solidFill>
                <a:sysClr val="windowText" lastClr="000000"/>
              </a:solidFill>
            </a:rPr>
            <a:t>' in the middle of the words  in</a:t>
          </a:r>
          <a:r>
            <a:rPr lang="en-US" sz="1400" b="1" baseline="0">
              <a:solidFill>
                <a:sysClr val="windowText" lastClr="000000"/>
              </a:solidFill>
            </a:rPr>
            <a:t> C</a:t>
          </a:r>
          <a:r>
            <a:rPr sz="1400" b="1">
              <a:solidFill>
                <a:sysClr val="windowText" lastClr="000000"/>
              </a:solidFill>
            </a:rPr>
            <a:t>olumn A.</a:t>
          </a:r>
          <a:endParaRPr lang="en-US" sz="1400" b="1">
            <a:solidFill>
              <a:sysClr val="windowText" lastClr="000000"/>
            </a:solidFill>
          </a:endParaRPr>
        </a:p>
        <a:p>
          <a:r>
            <a:rPr lang="en-US" sz="1400" b="1">
              <a:solidFill>
                <a:sysClr val="windowText" lastClr="000000"/>
              </a:solidFill>
            </a:rPr>
            <a:t>2. In</a:t>
          </a:r>
          <a:r>
            <a:rPr lang="en-US" sz="1400" b="1" baseline="0">
              <a:solidFill>
                <a:sysClr val="windowText" lastClr="000000"/>
              </a:solidFill>
            </a:rPr>
            <a:t> Columns B-E the functions SUBSTITUTE, CLEAN, TRIM were used for deleting unwanted extra spaces.</a:t>
          </a:r>
        </a:p>
        <a:p>
          <a:r>
            <a:rPr lang="en-US" sz="1400" b="1" baseline="0">
              <a:solidFill>
                <a:sysClr val="windowText" lastClr="000000"/>
              </a:solidFill>
            </a:rPr>
            <a:t>3. In Column E the function ISBLANK was used for filling in missed data.</a:t>
          </a:r>
        </a:p>
        <a:p>
          <a:r>
            <a:rPr lang="en-US" sz="1400" b="1" baseline="0">
              <a:solidFill>
                <a:sysClr val="windowText" lastClr="000000"/>
              </a:solidFill>
            </a:rPr>
            <a:t>4. Missing values in Column H,</a:t>
          </a:r>
          <a:r>
            <a:rPr lang="en-US" sz="1400" b="1" baseline="0">
              <a:solidFill>
                <a:sysClr val="windowText" lastClr="000000"/>
              </a:solidFill>
              <a:effectLst/>
              <a:latin typeface="+mn-lt"/>
              <a:ea typeface="+mn-ea"/>
              <a:cs typeface="+mn-cs"/>
            </a:rPr>
            <a:t>Column I,</a:t>
          </a:r>
          <a:r>
            <a:rPr lang="en-US" sz="1400" b="1" baseline="0">
              <a:solidFill>
                <a:sysClr val="windowText" lastClr="000000"/>
              </a:solidFill>
            </a:rPr>
            <a:t> Column T, Column U was fixed by using the function IF, ISBLANK and adding the logical math formula.</a:t>
          </a:r>
          <a:endParaRPr sz="1400" b="1">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129540</xdr:colOff>
      <xdr:row>1</xdr:row>
      <xdr:rowOff>53340</xdr:rowOff>
    </xdr:from>
    <xdr:to>
      <xdr:col>15</xdr:col>
      <xdr:colOff>525780</xdr:colOff>
      <xdr:row>3</xdr:row>
      <xdr:rowOff>53340</xdr:rowOff>
    </xdr:to>
    <xdr:sp macro="" textlink="">
      <xdr:nvSpPr>
        <xdr:cNvPr id="2" name="Rectangle: Rounded Corners 1">
          <a:extLst>
            <a:ext uri="{FF2B5EF4-FFF2-40B4-BE49-F238E27FC236}">
              <a16:creationId xmlns:a16="http://schemas.microsoft.com/office/drawing/2014/main" id="{F5F92090-7ED8-2180-70A0-B9D0981A9075}"/>
            </a:ext>
          </a:extLst>
        </xdr:cNvPr>
        <xdr:cNvSpPr/>
      </xdr:nvSpPr>
      <xdr:spPr>
        <a:xfrm>
          <a:off x="739140" y="236220"/>
          <a:ext cx="9113520" cy="365760"/>
        </a:xfrm>
        <a:prstGeom prst="roundRect">
          <a:avLst/>
        </a:prstGeom>
        <a:gradFill flip="none" rotWithShape="1">
          <a:gsLst>
            <a:gs pos="0">
              <a:srgbClr val="C8CEC9">
                <a:shade val="30000"/>
                <a:satMod val="115000"/>
              </a:srgbClr>
            </a:gs>
            <a:gs pos="50000">
              <a:srgbClr val="C8CEC9">
                <a:shade val="67500"/>
                <a:satMod val="115000"/>
              </a:srgbClr>
            </a:gs>
            <a:gs pos="100000">
              <a:srgbClr val="C8CEC9">
                <a:shade val="100000"/>
                <a:satMod val="115000"/>
              </a:srgbClr>
            </a:gs>
          </a:gsLst>
          <a:lin ang="5400000" scaled="1"/>
          <a:tileRect/>
        </a:gra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badi" panose="020B0604020104020204" pitchFamily="34" charset="0"/>
            </a:rPr>
            <a:t>Sales Report</a:t>
          </a:r>
          <a:r>
            <a:rPr lang="en-US" sz="2000" b="1" baseline="0">
              <a:latin typeface="Abadi" panose="020B0604020104020204" pitchFamily="34" charset="0"/>
            </a:rPr>
            <a:t> Analysis</a:t>
          </a:r>
          <a:endParaRPr lang="en-US" sz="2000" b="1">
            <a:latin typeface="Abadi" panose="020B0604020104020204" pitchFamily="34" charset="0"/>
          </a:endParaRPr>
        </a:p>
      </xdr:txBody>
    </xdr:sp>
    <xdr:clientData/>
  </xdr:twoCellAnchor>
  <xdr:twoCellAnchor>
    <xdr:from>
      <xdr:col>1</xdr:col>
      <xdr:colOff>259080</xdr:colOff>
      <xdr:row>5</xdr:row>
      <xdr:rowOff>129540</xdr:rowOff>
    </xdr:from>
    <xdr:to>
      <xdr:col>3</xdr:col>
      <xdr:colOff>236220</xdr:colOff>
      <xdr:row>8</xdr:row>
      <xdr:rowOff>121920</xdr:rowOff>
    </xdr:to>
    <xdr:sp macro="" textlink="">
      <xdr:nvSpPr>
        <xdr:cNvPr id="3" name="Rectangle: Rounded Corners 2">
          <a:extLst>
            <a:ext uri="{FF2B5EF4-FFF2-40B4-BE49-F238E27FC236}">
              <a16:creationId xmlns:a16="http://schemas.microsoft.com/office/drawing/2014/main" id="{BF879021-3A4A-5D4D-7D68-02CA269E4B2F}"/>
            </a:ext>
          </a:extLst>
        </xdr:cNvPr>
        <xdr:cNvSpPr/>
      </xdr:nvSpPr>
      <xdr:spPr>
        <a:xfrm>
          <a:off x="868680" y="1043940"/>
          <a:ext cx="1196340" cy="541020"/>
        </a:xfrm>
        <a:prstGeom prst="roundRect">
          <a:avLst/>
        </a:prstGeom>
        <a:gradFill flip="none" rotWithShape="1">
          <a:gsLst>
            <a:gs pos="0">
              <a:srgbClr val="C8CEC9">
                <a:shade val="30000"/>
                <a:satMod val="115000"/>
              </a:srgbClr>
            </a:gs>
            <a:gs pos="50000">
              <a:srgbClr val="C8CEC9">
                <a:shade val="67500"/>
                <a:satMod val="115000"/>
              </a:srgbClr>
            </a:gs>
            <a:gs pos="100000">
              <a:srgbClr val="C8CEC9">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400" b="1"/>
            <a:t>0</a:t>
          </a:r>
          <a:r>
            <a:rPr lang="en-US" sz="1400" b="1">
              <a:latin typeface="Abadi" panose="020B0604020104020204" pitchFamily="34" charset="0"/>
            </a:rPr>
            <a:t>.464</a:t>
          </a:r>
        </a:p>
      </xdr:txBody>
    </xdr:sp>
    <xdr:clientData/>
  </xdr:twoCellAnchor>
  <xdr:twoCellAnchor>
    <xdr:from>
      <xdr:col>0</xdr:col>
      <xdr:colOff>548640</xdr:colOff>
      <xdr:row>3</xdr:row>
      <xdr:rowOff>167640</xdr:rowOff>
    </xdr:from>
    <xdr:to>
      <xdr:col>16</xdr:col>
      <xdr:colOff>30480</xdr:colOff>
      <xdr:row>3</xdr:row>
      <xdr:rowOff>167640</xdr:rowOff>
    </xdr:to>
    <xdr:cxnSp macro="">
      <xdr:nvCxnSpPr>
        <xdr:cNvPr id="5" name="Straight Connector 4">
          <a:extLst>
            <a:ext uri="{FF2B5EF4-FFF2-40B4-BE49-F238E27FC236}">
              <a16:creationId xmlns:a16="http://schemas.microsoft.com/office/drawing/2014/main" id="{1D08FD4B-2975-3644-AE45-80E13D003214}"/>
            </a:ext>
          </a:extLst>
        </xdr:cNvPr>
        <xdr:cNvCxnSpPr/>
      </xdr:nvCxnSpPr>
      <xdr:spPr>
        <a:xfrm>
          <a:off x="548640" y="716280"/>
          <a:ext cx="9235440" cy="0"/>
        </a:xfrm>
        <a:prstGeom prst="line">
          <a:avLst/>
        </a:prstGeom>
        <a:ln w="57150"/>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264795</xdr:colOff>
      <xdr:row>5</xdr:row>
      <xdr:rowOff>129540</xdr:rowOff>
    </xdr:from>
    <xdr:to>
      <xdr:col>6</xdr:col>
      <xdr:colOff>241935</xdr:colOff>
      <xdr:row>8</xdr:row>
      <xdr:rowOff>121920</xdr:rowOff>
    </xdr:to>
    <xdr:sp macro="" textlink="">
      <xdr:nvSpPr>
        <xdr:cNvPr id="8" name="Rectangle: Rounded Corners 7">
          <a:extLst>
            <a:ext uri="{FF2B5EF4-FFF2-40B4-BE49-F238E27FC236}">
              <a16:creationId xmlns:a16="http://schemas.microsoft.com/office/drawing/2014/main" id="{77CBAB6F-37B7-D453-372B-C319A6E07072}"/>
            </a:ext>
          </a:extLst>
        </xdr:cNvPr>
        <xdr:cNvSpPr/>
      </xdr:nvSpPr>
      <xdr:spPr>
        <a:xfrm>
          <a:off x="2703195" y="1043940"/>
          <a:ext cx="1196340" cy="541020"/>
        </a:xfrm>
        <a:prstGeom prst="roundRect">
          <a:avLst/>
        </a:prstGeom>
        <a:gradFill flip="none" rotWithShape="1">
          <a:gsLst>
            <a:gs pos="0">
              <a:srgbClr val="C8CEC9">
                <a:shade val="30000"/>
                <a:satMod val="115000"/>
              </a:srgbClr>
            </a:gs>
            <a:gs pos="50000">
              <a:srgbClr val="C8CEC9">
                <a:shade val="67500"/>
                <a:satMod val="115000"/>
              </a:srgbClr>
            </a:gs>
            <a:gs pos="100000">
              <a:srgbClr val="C8CEC9">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a:solidFill>
                <a:schemeClr val="lt1"/>
              </a:solidFill>
              <a:latin typeface="Abadi" panose="020B0604020104020204" pitchFamily="34" charset="0"/>
              <a:ea typeface="+mn-ea"/>
              <a:cs typeface="+mn-cs"/>
            </a:rPr>
            <a:t>0.129</a:t>
          </a:r>
        </a:p>
      </xdr:txBody>
    </xdr:sp>
    <xdr:clientData/>
  </xdr:twoCellAnchor>
  <xdr:twoCellAnchor>
    <xdr:from>
      <xdr:col>7</xdr:col>
      <xdr:colOff>270510</xdr:colOff>
      <xdr:row>5</xdr:row>
      <xdr:rowOff>129540</xdr:rowOff>
    </xdr:from>
    <xdr:to>
      <xdr:col>9</xdr:col>
      <xdr:colOff>247650</xdr:colOff>
      <xdr:row>8</xdr:row>
      <xdr:rowOff>121920</xdr:rowOff>
    </xdr:to>
    <xdr:sp macro="" textlink="">
      <xdr:nvSpPr>
        <xdr:cNvPr id="9" name="Rectangle: Rounded Corners 8">
          <a:extLst>
            <a:ext uri="{FF2B5EF4-FFF2-40B4-BE49-F238E27FC236}">
              <a16:creationId xmlns:a16="http://schemas.microsoft.com/office/drawing/2014/main" id="{05E6C2B5-A059-5756-88F5-1772EADD8E74}"/>
            </a:ext>
          </a:extLst>
        </xdr:cNvPr>
        <xdr:cNvSpPr/>
      </xdr:nvSpPr>
      <xdr:spPr>
        <a:xfrm>
          <a:off x="4537710" y="1043940"/>
          <a:ext cx="1196340" cy="541020"/>
        </a:xfrm>
        <a:prstGeom prst="roundRect">
          <a:avLst/>
        </a:prstGeom>
        <a:gradFill flip="none" rotWithShape="1">
          <a:gsLst>
            <a:gs pos="0">
              <a:srgbClr val="C8CEC9">
                <a:shade val="30000"/>
                <a:satMod val="115000"/>
              </a:srgbClr>
            </a:gs>
            <a:gs pos="50000">
              <a:srgbClr val="C8CEC9">
                <a:shade val="67500"/>
                <a:satMod val="115000"/>
              </a:srgbClr>
            </a:gs>
            <a:gs pos="100000">
              <a:srgbClr val="C8CEC9">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a:solidFill>
                <a:schemeClr val="lt1"/>
              </a:solidFill>
              <a:latin typeface="Abadi" panose="020B0604020104020204" pitchFamily="34" charset="0"/>
              <a:ea typeface="+mn-ea"/>
              <a:cs typeface="+mn-cs"/>
            </a:rPr>
            <a:t>0.121</a:t>
          </a:r>
        </a:p>
      </xdr:txBody>
    </xdr:sp>
    <xdr:clientData/>
  </xdr:twoCellAnchor>
  <xdr:twoCellAnchor>
    <xdr:from>
      <xdr:col>10</xdr:col>
      <xdr:colOff>276225</xdr:colOff>
      <xdr:row>5</xdr:row>
      <xdr:rowOff>129540</xdr:rowOff>
    </xdr:from>
    <xdr:to>
      <xdr:col>12</xdr:col>
      <xdr:colOff>253365</xdr:colOff>
      <xdr:row>8</xdr:row>
      <xdr:rowOff>121920</xdr:rowOff>
    </xdr:to>
    <xdr:sp macro="" textlink="">
      <xdr:nvSpPr>
        <xdr:cNvPr id="10" name="Rectangle: Rounded Corners 9">
          <a:extLst>
            <a:ext uri="{FF2B5EF4-FFF2-40B4-BE49-F238E27FC236}">
              <a16:creationId xmlns:a16="http://schemas.microsoft.com/office/drawing/2014/main" id="{136FF9A2-0691-2187-0A05-03DA524E6FD2}"/>
            </a:ext>
          </a:extLst>
        </xdr:cNvPr>
        <xdr:cNvSpPr/>
      </xdr:nvSpPr>
      <xdr:spPr>
        <a:xfrm>
          <a:off x="6372225" y="1043940"/>
          <a:ext cx="1196340" cy="541020"/>
        </a:xfrm>
        <a:prstGeom prst="roundRect">
          <a:avLst/>
        </a:prstGeom>
        <a:gradFill flip="none" rotWithShape="1">
          <a:gsLst>
            <a:gs pos="0">
              <a:srgbClr val="C8CEC9">
                <a:shade val="30000"/>
                <a:satMod val="115000"/>
              </a:srgbClr>
            </a:gs>
            <a:gs pos="50000">
              <a:srgbClr val="C8CEC9">
                <a:shade val="67500"/>
                <a:satMod val="115000"/>
              </a:srgbClr>
            </a:gs>
            <a:gs pos="100000">
              <a:srgbClr val="C8CEC9">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a:solidFill>
                <a:schemeClr val="lt1"/>
              </a:solidFill>
              <a:latin typeface="Abadi" panose="020B0604020104020204" pitchFamily="34" charset="0"/>
              <a:ea typeface="+mn-ea"/>
              <a:cs typeface="+mn-cs"/>
            </a:rPr>
            <a:t>6.2%</a:t>
          </a:r>
        </a:p>
      </xdr:txBody>
    </xdr:sp>
    <xdr:clientData/>
  </xdr:twoCellAnchor>
  <xdr:twoCellAnchor>
    <xdr:from>
      <xdr:col>13</xdr:col>
      <xdr:colOff>281940</xdr:colOff>
      <xdr:row>5</xdr:row>
      <xdr:rowOff>152400</xdr:rowOff>
    </xdr:from>
    <xdr:to>
      <xdr:col>15</xdr:col>
      <xdr:colOff>259080</xdr:colOff>
      <xdr:row>8</xdr:row>
      <xdr:rowOff>144780</xdr:rowOff>
    </xdr:to>
    <xdr:sp macro="" textlink="">
      <xdr:nvSpPr>
        <xdr:cNvPr id="11" name="Rectangle: Rounded Corners 10">
          <a:extLst>
            <a:ext uri="{FF2B5EF4-FFF2-40B4-BE49-F238E27FC236}">
              <a16:creationId xmlns:a16="http://schemas.microsoft.com/office/drawing/2014/main" id="{7E1EA91A-4B08-5847-BAF8-B3459340519E}"/>
            </a:ext>
          </a:extLst>
        </xdr:cNvPr>
        <xdr:cNvSpPr/>
      </xdr:nvSpPr>
      <xdr:spPr>
        <a:xfrm>
          <a:off x="8206740" y="1066800"/>
          <a:ext cx="1196340" cy="541020"/>
        </a:xfrm>
        <a:prstGeom prst="roundRect">
          <a:avLst/>
        </a:prstGeom>
        <a:gradFill flip="none" rotWithShape="1">
          <a:gsLst>
            <a:gs pos="0">
              <a:srgbClr val="C8CEC9">
                <a:shade val="30000"/>
                <a:satMod val="115000"/>
              </a:srgbClr>
            </a:gs>
            <a:gs pos="50000">
              <a:srgbClr val="C8CEC9">
                <a:shade val="67500"/>
                <a:satMod val="115000"/>
              </a:srgbClr>
            </a:gs>
            <a:gs pos="100000">
              <a:srgbClr val="C8CEC9">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a:solidFill>
                <a:schemeClr val="lt1"/>
              </a:solidFill>
              <a:latin typeface="Abadi" panose="020B0604020104020204" pitchFamily="34" charset="0"/>
              <a:ea typeface="+mn-ea"/>
              <a:cs typeface="+mn-cs"/>
            </a:rPr>
            <a:t>5.9%</a:t>
          </a:r>
        </a:p>
      </xdr:txBody>
    </xdr:sp>
    <xdr:clientData/>
  </xdr:twoCellAnchor>
  <xdr:twoCellAnchor>
    <xdr:from>
      <xdr:col>1</xdr:col>
      <xdr:colOff>312420</xdr:colOff>
      <xdr:row>4</xdr:row>
      <xdr:rowOff>0</xdr:rowOff>
    </xdr:from>
    <xdr:to>
      <xdr:col>3</xdr:col>
      <xdr:colOff>182880</xdr:colOff>
      <xdr:row>5</xdr:row>
      <xdr:rowOff>137160</xdr:rowOff>
    </xdr:to>
    <xdr:sp macro="" textlink="">
      <xdr:nvSpPr>
        <xdr:cNvPr id="12" name="TextBox 11">
          <a:extLst>
            <a:ext uri="{FF2B5EF4-FFF2-40B4-BE49-F238E27FC236}">
              <a16:creationId xmlns:a16="http://schemas.microsoft.com/office/drawing/2014/main" id="{413444FB-6A40-04B6-E208-525ACF5DD6AE}"/>
            </a:ext>
          </a:extLst>
        </xdr:cNvPr>
        <xdr:cNvSpPr txBox="1"/>
      </xdr:nvSpPr>
      <xdr:spPr>
        <a:xfrm>
          <a:off x="922020" y="731520"/>
          <a:ext cx="10896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solidFill>
              <a:latin typeface="Abadi" panose="020B0604020104020204" pitchFamily="34" charset="0"/>
            </a:rPr>
            <a:t>Average unit weight (kg)</a:t>
          </a:r>
        </a:p>
      </xdr:txBody>
    </xdr:sp>
    <xdr:clientData/>
  </xdr:twoCellAnchor>
  <xdr:twoCellAnchor>
    <xdr:from>
      <xdr:col>4</xdr:col>
      <xdr:colOff>321945</xdr:colOff>
      <xdr:row>4</xdr:row>
      <xdr:rowOff>7620</xdr:rowOff>
    </xdr:from>
    <xdr:to>
      <xdr:col>6</xdr:col>
      <xdr:colOff>192405</xdr:colOff>
      <xdr:row>5</xdr:row>
      <xdr:rowOff>175260</xdr:rowOff>
    </xdr:to>
    <xdr:sp macro="" textlink="">
      <xdr:nvSpPr>
        <xdr:cNvPr id="13" name="TextBox 12">
          <a:extLst>
            <a:ext uri="{FF2B5EF4-FFF2-40B4-BE49-F238E27FC236}">
              <a16:creationId xmlns:a16="http://schemas.microsoft.com/office/drawing/2014/main" id="{027E3FCA-E009-8F2F-544F-FEE925B5FD36}"/>
            </a:ext>
          </a:extLst>
        </xdr:cNvPr>
        <xdr:cNvSpPr txBox="1"/>
      </xdr:nvSpPr>
      <xdr:spPr>
        <a:xfrm>
          <a:off x="2760345" y="739140"/>
          <a:ext cx="10896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solidFill>
              <a:latin typeface="Abadi" panose="020B0604020104020204" pitchFamily="34" charset="0"/>
            </a:rPr>
            <a:t>Average Selling Price per Unit (USD)</a:t>
          </a:r>
        </a:p>
      </xdr:txBody>
    </xdr:sp>
    <xdr:clientData/>
  </xdr:twoCellAnchor>
  <xdr:twoCellAnchor>
    <xdr:from>
      <xdr:col>7</xdr:col>
      <xdr:colOff>316230</xdr:colOff>
      <xdr:row>4</xdr:row>
      <xdr:rowOff>0</xdr:rowOff>
    </xdr:from>
    <xdr:to>
      <xdr:col>9</xdr:col>
      <xdr:colOff>186690</xdr:colOff>
      <xdr:row>5</xdr:row>
      <xdr:rowOff>137160</xdr:rowOff>
    </xdr:to>
    <xdr:sp macro="" textlink="">
      <xdr:nvSpPr>
        <xdr:cNvPr id="14" name="TextBox 13">
          <a:extLst>
            <a:ext uri="{FF2B5EF4-FFF2-40B4-BE49-F238E27FC236}">
              <a16:creationId xmlns:a16="http://schemas.microsoft.com/office/drawing/2014/main" id="{E76161C8-564E-5138-CED6-B3F59DE5495E}"/>
            </a:ext>
          </a:extLst>
        </xdr:cNvPr>
        <xdr:cNvSpPr txBox="1"/>
      </xdr:nvSpPr>
      <xdr:spPr>
        <a:xfrm>
          <a:off x="4583430" y="731520"/>
          <a:ext cx="10896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solidFill>
              <a:latin typeface="Abadi" panose="020B0604020104020204" pitchFamily="34" charset="0"/>
            </a:rPr>
            <a:t>Average unit cost (USD)</a:t>
          </a:r>
        </a:p>
      </xdr:txBody>
    </xdr:sp>
    <xdr:clientData/>
  </xdr:twoCellAnchor>
  <xdr:twoCellAnchor>
    <xdr:from>
      <xdr:col>10</xdr:col>
      <xdr:colOff>318135</xdr:colOff>
      <xdr:row>4</xdr:row>
      <xdr:rowOff>7620</xdr:rowOff>
    </xdr:from>
    <xdr:to>
      <xdr:col>12</xdr:col>
      <xdr:colOff>188595</xdr:colOff>
      <xdr:row>5</xdr:row>
      <xdr:rowOff>137160</xdr:rowOff>
    </xdr:to>
    <xdr:sp macro="" textlink="">
      <xdr:nvSpPr>
        <xdr:cNvPr id="15" name="TextBox 14">
          <a:extLst>
            <a:ext uri="{FF2B5EF4-FFF2-40B4-BE49-F238E27FC236}">
              <a16:creationId xmlns:a16="http://schemas.microsoft.com/office/drawing/2014/main" id="{2110F26A-954B-6330-8642-E03ED3CDDF10}"/>
            </a:ext>
          </a:extLst>
        </xdr:cNvPr>
        <xdr:cNvSpPr txBox="1"/>
      </xdr:nvSpPr>
      <xdr:spPr>
        <a:xfrm>
          <a:off x="6414135" y="739140"/>
          <a:ext cx="10896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solidFill>
              <a:latin typeface="Abadi" panose="020B0604020104020204" pitchFamily="34" charset="0"/>
            </a:rPr>
            <a:t>Product  profitability (month)</a:t>
          </a:r>
        </a:p>
      </xdr:txBody>
    </xdr:sp>
    <xdr:clientData/>
  </xdr:twoCellAnchor>
  <xdr:twoCellAnchor>
    <xdr:from>
      <xdr:col>13</xdr:col>
      <xdr:colOff>320040</xdr:colOff>
      <xdr:row>3</xdr:row>
      <xdr:rowOff>167640</xdr:rowOff>
    </xdr:from>
    <xdr:to>
      <xdr:col>15</xdr:col>
      <xdr:colOff>190500</xdr:colOff>
      <xdr:row>5</xdr:row>
      <xdr:rowOff>137160</xdr:rowOff>
    </xdr:to>
    <xdr:sp macro="" textlink="">
      <xdr:nvSpPr>
        <xdr:cNvPr id="16" name="TextBox 15">
          <a:extLst>
            <a:ext uri="{FF2B5EF4-FFF2-40B4-BE49-F238E27FC236}">
              <a16:creationId xmlns:a16="http://schemas.microsoft.com/office/drawing/2014/main" id="{CE1A0AD4-C287-79FA-68BC-E3FA6B48E7AF}"/>
            </a:ext>
          </a:extLst>
        </xdr:cNvPr>
        <xdr:cNvSpPr txBox="1"/>
      </xdr:nvSpPr>
      <xdr:spPr>
        <a:xfrm>
          <a:off x="8244840" y="716280"/>
          <a:ext cx="10896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solidFill>
              <a:latin typeface="Abadi" panose="020B0604020104020204" pitchFamily="34" charset="0"/>
            </a:rPr>
            <a:t>Profit margin (month)</a:t>
          </a:r>
        </a:p>
      </xdr:txBody>
    </xdr:sp>
    <xdr:clientData/>
  </xdr:twoCellAnchor>
  <xdr:twoCellAnchor>
    <xdr:from>
      <xdr:col>0</xdr:col>
      <xdr:colOff>563880</xdr:colOff>
      <xdr:row>8</xdr:row>
      <xdr:rowOff>175260</xdr:rowOff>
    </xdr:from>
    <xdr:to>
      <xdr:col>16</xdr:col>
      <xdr:colOff>175260</xdr:colOff>
      <xdr:row>8</xdr:row>
      <xdr:rowOff>175260</xdr:rowOff>
    </xdr:to>
    <xdr:cxnSp macro="">
      <xdr:nvCxnSpPr>
        <xdr:cNvPr id="18" name="Straight Connector 17">
          <a:extLst>
            <a:ext uri="{FF2B5EF4-FFF2-40B4-BE49-F238E27FC236}">
              <a16:creationId xmlns:a16="http://schemas.microsoft.com/office/drawing/2014/main" id="{9E75EFDD-5B1C-EB21-541A-851484B5CECA}"/>
            </a:ext>
          </a:extLst>
        </xdr:cNvPr>
        <xdr:cNvCxnSpPr/>
      </xdr:nvCxnSpPr>
      <xdr:spPr>
        <a:xfrm>
          <a:off x="563880" y="1638300"/>
          <a:ext cx="9364980" cy="0"/>
        </a:xfrm>
        <a:prstGeom prst="line">
          <a:avLst/>
        </a:prstGeom>
        <a:ln w="28575"/>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301451</xdr:colOff>
      <xdr:row>10</xdr:row>
      <xdr:rowOff>150808</xdr:rowOff>
    </xdr:from>
    <xdr:to>
      <xdr:col>15</xdr:col>
      <xdr:colOff>453348</xdr:colOff>
      <xdr:row>22</xdr:row>
      <xdr:rowOff>41869</xdr:rowOff>
    </xdr:to>
    <xdr:graphicFrame macro="">
      <xdr:nvGraphicFramePr>
        <xdr:cNvPr id="19" name="Chart 18">
          <a:extLst>
            <a:ext uri="{FF2B5EF4-FFF2-40B4-BE49-F238E27FC236}">
              <a16:creationId xmlns:a16="http://schemas.microsoft.com/office/drawing/2014/main" id="{00E6C61F-9912-4DE0-BFAC-E05D08E24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258205</xdr:colOff>
      <xdr:row>10</xdr:row>
      <xdr:rowOff>125374</xdr:rowOff>
    </xdr:from>
    <xdr:to>
      <xdr:col>6</xdr:col>
      <xdr:colOff>234461</xdr:colOff>
      <xdr:row>21</xdr:row>
      <xdr:rowOff>175846</xdr:rowOff>
    </xdr:to>
    <xdr:graphicFrame macro="">
      <xdr:nvGraphicFramePr>
        <xdr:cNvPr id="20" name="Chart 19">
          <a:extLst>
            <a:ext uri="{FF2B5EF4-FFF2-40B4-BE49-F238E27FC236}">
              <a16:creationId xmlns:a16="http://schemas.microsoft.com/office/drawing/2014/main" id="{51BC08C5-F24F-4CCF-8470-33F1C4B3D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131453</xdr:colOff>
      <xdr:row>22</xdr:row>
      <xdr:rowOff>41868</xdr:rowOff>
    </xdr:from>
    <xdr:to>
      <xdr:col>7</xdr:col>
      <xdr:colOff>762000</xdr:colOff>
      <xdr:row>35</xdr:row>
      <xdr:rowOff>77184</xdr:rowOff>
    </xdr:to>
    <xdr:graphicFrame macro="">
      <xdr:nvGraphicFramePr>
        <xdr:cNvPr id="21" name="Chart 20">
          <a:extLst>
            <a:ext uri="{FF2B5EF4-FFF2-40B4-BE49-F238E27FC236}">
              <a16:creationId xmlns:a16="http://schemas.microsoft.com/office/drawing/2014/main" id="{AADB9920-B9E1-40DF-9A4D-0BEFC910A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10</xdr:row>
      <xdr:rowOff>157590</xdr:rowOff>
    </xdr:from>
    <xdr:to>
      <xdr:col>10</xdr:col>
      <xdr:colOff>329752</xdr:colOff>
      <xdr:row>13</xdr:row>
      <xdr:rowOff>57107</xdr:rowOff>
    </xdr:to>
    <xdr:sp macro="" textlink="">
      <xdr:nvSpPr>
        <xdr:cNvPr id="22" name="TextBox 21">
          <a:extLst>
            <a:ext uri="{FF2B5EF4-FFF2-40B4-BE49-F238E27FC236}">
              <a16:creationId xmlns:a16="http://schemas.microsoft.com/office/drawing/2014/main" id="{BA6F2706-EE56-2D3E-7AA4-952809CC2C4C}"/>
            </a:ext>
          </a:extLst>
        </xdr:cNvPr>
        <xdr:cNvSpPr txBox="1"/>
      </xdr:nvSpPr>
      <xdr:spPr>
        <a:xfrm>
          <a:off x="3733800" y="1986390"/>
          <a:ext cx="2874832" cy="448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Abadi" panose="020B0604020104020204" pitchFamily="34" charset="0"/>
            </a:rPr>
            <a:t>Ranking of the Most Profitable and Least Profitable Product Types</a:t>
          </a:r>
        </a:p>
      </xdr:txBody>
    </xdr:sp>
    <xdr:clientData/>
  </xdr:twoCellAnchor>
  <xdr:twoCellAnchor>
    <xdr:from>
      <xdr:col>7</xdr:col>
      <xdr:colOff>569406</xdr:colOff>
      <xdr:row>22</xdr:row>
      <xdr:rowOff>58616</xdr:rowOff>
    </xdr:from>
    <xdr:to>
      <xdr:col>15</xdr:col>
      <xdr:colOff>535912</xdr:colOff>
      <xdr:row>37</xdr:row>
      <xdr:rowOff>81307</xdr:rowOff>
    </xdr:to>
    <xdr:graphicFrame macro="">
      <xdr:nvGraphicFramePr>
        <xdr:cNvPr id="23" name="Chart 22">
          <a:extLst>
            <a:ext uri="{FF2B5EF4-FFF2-40B4-BE49-F238E27FC236}">
              <a16:creationId xmlns:a16="http://schemas.microsoft.com/office/drawing/2014/main" id="{B16ED27E-9240-44EC-8345-A1A99447F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154213</xdr:colOff>
      <xdr:row>43</xdr:row>
      <xdr:rowOff>9070</xdr:rowOff>
    </xdr:from>
    <xdr:to>
      <xdr:col>15</xdr:col>
      <xdr:colOff>426356</xdr:colOff>
      <xdr:row>73</xdr:row>
      <xdr:rowOff>54427</xdr:rowOff>
    </xdr:to>
    <xdr:sp macro="" textlink="">
      <xdr:nvSpPr>
        <xdr:cNvPr id="24" name="TextBox 23">
          <a:extLst>
            <a:ext uri="{FF2B5EF4-FFF2-40B4-BE49-F238E27FC236}">
              <a16:creationId xmlns:a16="http://schemas.microsoft.com/office/drawing/2014/main" id="{B3D59273-0884-FE7F-6EE8-B2463CA2BCD5}"/>
            </a:ext>
          </a:extLst>
        </xdr:cNvPr>
        <xdr:cNvSpPr txBox="1"/>
      </xdr:nvSpPr>
      <xdr:spPr>
        <a:xfrm>
          <a:off x="761999" y="7892141"/>
          <a:ext cx="8971643" cy="548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Abadi" panose="020B0604020104020204" pitchFamily="34" charset="0"/>
            </a:rPr>
            <a:t>Based on the data, the following </a:t>
          </a:r>
          <a:r>
            <a:rPr lang="en-US" sz="1600" b="1">
              <a:solidFill>
                <a:schemeClr val="bg1"/>
              </a:solidFill>
              <a:latin typeface="Abadi" panose="020B0604020104020204" pitchFamily="34" charset="0"/>
            </a:rPr>
            <a:t>key</a:t>
          </a:r>
          <a:r>
            <a:rPr lang="en-US" sz="1600" b="1" baseline="0">
              <a:solidFill>
                <a:schemeClr val="bg1"/>
              </a:solidFill>
              <a:latin typeface="Abadi" panose="020B0604020104020204" pitchFamily="34" charset="0"/>
            </a:rPr>
            <a:t> findings</a:t>
          </a:r>
          <a:r>
            <a:rPr lang="en-US" sz="1600" b="1">
              <a:solidFill>
                <a:schemeClr val="bg1"/>
              </a:solidFill>
              <a:latin typeface="Abadi" panose="020B0604020104020204" pitchFamily="34" charset="0"/>
            </a:rPr>
            <a:t> and recommendations</a:t>
          </a:r>
          <a:r>
            <a:rPr lang="en-US" sz="1600">
              <a:solidFill>
                <a:schemeClr val="bg1"/>
              </a:solidFill>
              <a:latin typeface="Abadi" panose="020B0604020104020204" pitchFamily="34" charset="0"/>
            </a:rPr>
            <a:t> </a:t>
          </a:r>
          <a:r>
            <a:rPr lang="en-US" sz="1400">
              <a:solidFill>
                <a:schemeClr val="bg1"/>
              </a:solidFill>
              <a:latin typeface="Abadi" panose="020B0604020104020204" pitchFamily="34" charset="0"/>
            </a:rPr>
            <a:t>for business development can be drawn:</a:t>
          </a:r>
          <a:endParaRPr lang="ru-RU" sz="1400">
            <a:solidFill>
              <a:schemeClr val="bg1"/>
            </a:solidFill>
            <a:latin typeface="Abadi" panose="020B0604020104020204" pitchFamily="34" charset="0"/>
          </a:endParaRPr>
        </a:p>
        <a:p>
          <a:endParaRPr lang="ru-RU" sz="1400">
            <a:solidFill>
              <a:schemeClr val="bg1"/>
            </a:solidFill>
            <a:latin typeface="Abadi" panose="020B0604020104020204" pitchFamily="34" charset="0"/>
          </a:endParaRPr>
        </a:p>
        <a:p>
          <a:r>
            <a:rPr lang="en-US" sz="1400">
              <a:solidFill>
                <a:schemeClr val="bg1"/>
              </a:solidFill>
              <a:latin typeface="Abadi" panose="020B0604020104020204" pitchFamily="34" charset="0"/>
            </a:rPr>
            <a:t>1. The average selling price of the product is $0.129, with an average production cost of $0.121, resulting in a relatively low product profitability margin of 6.2%. In the current market economy, this percentage likely does not allow the enterprise to expand production capacity or increase marketing expenditures to grow its sales markets. This may indicate insufficient efficiency in production organization and processes, as well as a failure to set prices that would drive profitability growth.</a:t>
          </a:r>
          <a:endParaRPr lang="ru-RU" sz="1400">
            <a:solidFill>
              <a:schemeClr val="bg1"/>
            </a:solidFill>
            <a:latin typeface="Abadi" panose="020B0604020104020204" pitchFamily="34" charset="0"/>
          </a:endParaRPr>
        </a:p>
        <a:p>
          <a:endParaRPr lang="ru-RU" sz="1400">
            <a:solidFill>
              <a:schemeClr val="bg1"/>
            </a:solidFill>
            <a:latin typeface="Abadi" panose="020B0604020104020204" pitchFamily="34" charset="0"/>
          </a:endParaRPr>
        </a:p>
        <a:p>
          <a:r>
            <a:rPr lang="en-US" sz="1400">
              <a:solidFill>
                <a:schemeClr val="bg1"/>
              </a:solidFill>
              <a:latin typeface="Abadi" panose="020B0604020104020204" pitchFamily="34" charset="0"/>
            </a:rPr>
            <a:t>2. The sales structure shows that colored glass bottles account for the largest share (67%), or 5.8 million units. This generated $62,977 in sales profit for the enterprise. Profit from the sale of colored bottles alone constitutes 95.4% of the total monthly profit. The situation is reversed for colorless glass: 2.9 million units were sold, yielding only $3,023 in profit (4.6%). This aspect requires a deeper analysis of production costs and the viability of manufacturing specific product types. Lists of the most profitable and least profitable bottle types, including sales volumes and profitability figures, are provided for reference. It is recommended to prioritize analyzing the sales volumes of unprofitable items and partner contracts regarding potential price adjustments, as well as conducting a detailed analysis of production costs.</a:t>
          </a:r>
          <a:endParaRPr lang="ru-RU" sz="1400">
            <a:solidFill>
              <a:schemeClr val="bg1"/>
            </a:solidFill>
            <a:latin typeface="Abadi" panose="020B0604020104020204" pitchFamily="34" charset="0"/>
          </a:endParaRPr>
        </a:p>
        <a:p>
          <a:endParaRPr lang="ru-RU" sz="1400">
            <a:solidFill>
              <a:schemeClr val="bg1"/>
            </a:solidFill>
            <a:latin typeface="Abadi" panose="020B0604020104020204" pitchFamily="34" charset="0"/>
          </a:endParaRPr>
        </a:p>
        <a:p>
          <a:r>
            <a:rPr lang="en-US" sz="1400">
              <a:solidFill>
                <a:schemeClr val="bg1"/>
              </a:solidFill>
              <a:latin typeface="Abadi" panose="020B0604020104020204" pitchFamily="34" charset="0"/>
            </a:rPr>
            <a:t>3. The graph showing product profitability by capacity reveals that only the 0.375-liter and 0.75-liter bottles meet the target profitability level of 10%. The 0.5-liter and 0.568-liter items show very low efficiency, with profitability levels of 1.4% and -4.7%, respectively. Recommendation: Consider evaluating opportunities to increase sales of 0.375L, 0.75L, and 0.7L bottles, and analyze the pricing policy for 0.5L and 0.568L products. Products with higher profitability could be prioritized if production capacity allows.</a:t>
          </a:r>
          <a:endParaRPr lang="ru-RU" sz="1400">
            <a:solidFill>
              <a:schemeClr val="bg1"/>
            </a:solidFill>
            <a:latin typeface="Abadi" panose="020B0604020104020204" pitchFamily="34" charset="0"/>
          </a:endParaRPr>
        </a:p>
        <a:p>
          <a:endParaRPr lang="ru-RU" sz="1400">
            <a:solidFill>
              <a:schemeClr val="bg1"/>
            </a:solidFill>
            <a:latin typeface="Abadi" panose="020B0604020104020204" pitchFamily="34" charset="0"/>
          </a:endParaRPr>
        </a:p>
        <a:p>
          <a:r>
            <a:rPr lang="en-US" sz="1400">
              <a:solidFill>
                <a:schemeClr val="bg1"/>
              </a:solidFill>
              <a:latin typeface="Abadi" panose="020B0604020104020204" pitchFamily="34" charset="0"/>
            </a:rPr>
            <a:t>4. The primary sales market is the local market in Belarus, indicating that the enterprise is focused on meeting domestic demand for glass containers. Monthly sales exceed 6 million units, accounting for approximately 70% of total sales. Export sales are directed primarily to CIS countries. Bottles are exported to Poland (1.6 million), Russia (0.5 million), Latvia (0.3 million), Lithuania (0.16 million), and Azerbaijan (0.03 million). Export sales are directed primarily to Commonwealth of Independent States countries.</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0.15254</cdr:x>
      <cdr:y>0.03446</cdr:y>
    </cdr:from>
    <cdr:to>
      <cdr:x>0.69414</cdr:x>
      <cdr:y>0.16195</cdr:y>
    </cdr:to>
    <cdr:sp macro="" textlink="">
      <cdr:nvSpPr>
        <cdr:cNvPr id="2" name="Rectangle: Rounded Corners 1">
          <a:extLst xmlns:a="http://schemas.openxmlformats.org/drawingml/2006/main">
            <a:ext uri="{FF2B5EF4-FFF2-40B4-BE49-F238E27FC236}">
              <a16:creationId xmlns:a16="http://schemas.microsoft.com/office/drawing/2014/main" id="{91638594-6C3F-ABF7-2923-A7CC20A09AD5}"/>
            </a:ext>
          </a:extLst>
        </cdr:cNvPr>
        <cdr:cNvSpPr/>
      </cdr:nvSpPr>
      <cdr:spPr>
        <a:xfrm xmlns:a="http://schemas.openxmlformats.org/drawingml/2006/main">
          <a:off x="655668" y="83737"/>
          <a:ext cx="2327868" cy="309824"/>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400" b="1" kern="1200">
              <a:solidFill>
                <a:schemeClr val="bg1"/>
              </a:solidFill>
              <a:latin typeface="Abadi" panose="020B0604020104020204" pitchFamily="34" charset="0"/>
            </a:rPr>
            <a:t>Quantity Sold</a:t>
          </a:r>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464820</xdr:colOff>
      <xdr:row>6</xdr:row>
      <xdr:rowOff>38100</xdr:rowOff>
    </xdr:from>
    <xdr:to>
      <xdr:col>11</xdr:col>
      <xdr:colOff>198120</xdr:colOff>
      <xdr:row>21</xdr:row>
      <xdr:rowOff>38100</xdr:rowOff>
    </xdr:to>
    <xdr:graphicFrame macro="">
      <xdr:nvGraphicFramePr>
        <xdr:cNvPr id="2" name="Chart 1">
          <a:extLst>
            <a:ext uri="{FF2B5EF4-FFF2-40B4-BE49-F238E27FC236}">
              <a16:creationId xmlns:a16="http://schemas.microsoft.com/office/drawing/2014/main" id="{0829CAE5-559F-8E21-E753-EA2BD1352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464820</xdr:colOff>
      <xdr:row>21</xdr:row>
      <xdr:rowOff>60960</xdr:rowOff>
    </xdr:from>
    <xdr:to>
      <xdr:col>11</xdr:col>
      <xdr:colOff>198120</xdr:colOff>
      <xdr:row>36</xdr:row>
      <xdr:rowOff>60960</xdr:rowOff>
    </xdr:to>
    <xdr:graphicFrame macro="">
      <xdr:nvGraphicFramePr>
        <xdr:cNvPr id="3" name="Chart 2">
          <a:extLst>
            <a:ext uri="{FF2B5EF4-FFF2-40B4-BE49-F238E27FC236}">
              <a16:creationId xmlns:a16="http://schemas.microsoft.com/office/drawing/2014/main" id="{E5912167-CFDE-4E82-BF3D-D20B24501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365760</xdr:colOff>
      <xdr:row>36</xdr:row>
      <xdr:rowOff>38100</xdr:rowOff>
    </xdr:from>
    <xdr:to>
      <xdr:col>13</xdr:col>
      <xdr:colOff>60960</xdr:colOff>
      <xdr:row>49</xdr:row>
      <xdr:rowOff>121920</xdr:rowOff>
    </xdr:to>
    <xdr:graphicFrame macro="">
      <xdr:nvGraphicFramePr>
        <xdr:cNvPr id="4" name="Chart 3">
          <a:extLst>
            <a:ext uri="{FF2B5EF4-FFF2-40B4-BE49-F238E27FC236}">
              <a16:creationId xmlns:a16="http://schemas.microsoft.com/office/drawing/2014/main" id="{838434F5-91EC-36A5-9ACC-8BB175D70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320040</xdr:colOff>
      <xdr:row>78</xdr:row>
      <xdr:rowOff>121920</xdr:rowOff>
    </xdr:from>
    <xdr:to>
      <xdr:col>15</xdr:col>
      <xdr:colOff>304800</xdr:colOff>
      <xdr:row>97</xdr:row>
      <xdr:rowOff>137160</xdr:rowOff>
    </xdr:to>
    <xdr:graphicFrame macro="">
      <xdr:nvGraphicFramePr>
        <xdr:cNvPr id="5" name="Chart 4">
          <a:extLst>
            <a:ext uri="{FF2B5EF4-FFF2-40B4-BE49-F238E27FC236}">
              <a16:creationId xmlns:a16="http://schemas.microsoft.com/office/drawing/2014/main" id="{88E7D772-D29A-0BB9-9047-82CD87C32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hail Vashkevich" refreshedDate="46221.552413773148" createdVersion="8" refreshedVersion="8" minRefreshableVersion="3" recordCount="41" xr:uid="{E3EB3590-4BC8-4046-9F7F-821C289D8089}">
  <cacheSource type="worksheet">
    <worksheetSource name="Table3"/>
  </cacheSource>
  <cacheFields count="21">
    <cacheField name="Product" numFmtId="0">
      <sharedItems count="29">
        <s v="Bottle 32-П-29-А-700"/>
        <s v="Bottle 123-КПШ"/>
        <s v="Bottle 11-ВКП-2"/>
        <s v="Bottle 42-КПШ"/>
        <s v="Bottle 138-КПНн"/>
        <s v="Bottle 109-А"/>
        <s v="Bottle 111-В"/>
        <s v="Bottle 115-КПНб"/>
        <s v="Bottle 118-ВВК"/>
        <s v="Bottle 125-В"/>
        <s v="Bottle 126-В"/>
        <s v="Bottle 128-КПН-М"/>
        <s v="Bottle 139-КНд"/>
        <s v="Bottle 140-КПМ"/>
        <s v="Bottle 17-В"/>
        <s v="Bottle 81-КПМ"/>
        <s v="Bottle 110-Ш"/>
        <s v="Bottle 110-Ш-Green"/>
        <s v="Bottle 110-Ш-Brown"/>
        <s v="Bottle 117-П"/>
        <s v="Bottle 31-П-29-Б"/>
        <s v="Bottle 127-П-29-Б-700"/>
        <s v="Bottle 29-В-1"/>
        <s v="Bottle 29-В"/>
        <s v="Bottle 32-П-29-Б"/>
        <s v="Bottle 103-ВВК"/>
        <s v="Bottle 12,8-КПН-М" u="1"/>
        <s v="Bottle 12 3-КПШ" u="1"/>
        <s v="Bottle 2 9-В" u="1"/>
      </sharedItems>
    </cacheField>
    <cacheField name="Container Volume (L)" numFmtId="0">
      <sharedItems count="5">
        <s v="0.7"/>
        <s v="0.75"/>
        <s v="0.5"/>
        <s v="0.375"/>
        <s v="0.568"/>
      </sharedItems>
    </cacheField>
    <cacheField name="Glass Color" numFmtId="0">
      <sharedItems/>
    </cacheField>
    <cacheField name="Sales Country" numFmtId="0">
      <sharedItems count="6">
        <s v="Azerbaijan"/>
        <s v="Lithuania"/>
        <s v="Russia"/>
        <s v="Poland"/>
        <s v="Latvia"/>
        <s v="Belarus"/>
      </sharedItems>
    </cacheField>
    <cacheField name="Unit of Measure" numFmtId="0">
      <sharedItems/>
    </cacheField>
    <cacheField name="Quantity Sold" numFmtId="0">
      <sharedItems containsSemiMixedTypes="0" containsString="0" containsNumber="1" containsInteger="1" minValue="17550" maxValue="1259104"/>
    </cacheField>
    <cacheField name="Unit Weight (kg)" numFmtId="0">
      <sharedItems containsSemiMixedTypes="0" containsString="0" containsNumber="1" minValue="0.33" maxValue="0.7"/>
    </cacheField>
    <cacheField name="Total Weight (tons)" numFmtId="165">
      <sharedItems containsSemiMixedTypes="0" containsString="0" containsNumber="1" minValue="8.2835999999999999" maxValue="793.23552000000007"/>
    </cacheField>
    <cacheField name="Average Selling Price per Unit (USD)" numFmtId="166">
      <sharedItems containsSemiMixedTypes="0" containsString="0" containsNumber="1" minValue="8.6206896551724144E-2" maxValue="0.2164876005220833"/>
    </cacheField>
    <cacheField name="Average Selling Price per Ton (USD)" numFmtId="1">
      <sharedItems containsSemiMixedTypes="0" containsString="0" containsNumber="1" minValue="240.72869225764475" maxValue="309.36391760356145"/>
    </cacheField>
    <cacheField name="Net Revenue, excl. VAT (USD)" numFmtId="2">
      <sharedItems containsSemiMixedTypes="0" containsString="0" containsNumber="1" minValue="2239.1379310344828" maxValue="212745.15862068965"/>
    </cacheField>
    <cacheField name="Gross Revenue, incl. VAT (USD)" numFmtId="2">
      <sharedItems containsSemiMixedTypes="0" containsString="0" containsNumber="1" minValue="2358.344827586207" maxValue="255294.24137931038"/>
    </cacheField>
    <cacheField name="Manufacturing Cost (USD)" numFmtId="2">
      <sharedItems containsSemiMixedTypes="0" containsString="0" containsNumber="1" minValue="1822.8068965517243" maxValue="157933.04827586209"/>
    </cacheField>
    <cacheField name="Administrative Expenses (USD)" numFmtId="2">
      <sharedItems containsSemiMixedTypes="0" containsString="0" containsNumber="1" minValue="246.81034482758622" maxValue="23634.365517241382"/>
    </cacheField>
    <cacheField name="Selling Expenses (USD)" numFmtId="2">
      <sharedItems containsSemiMixedTypes="0" containsString="0" containsNumber="1" minValue="50.348275862068967" maxValue="4821.3689655172411"/>
    </cacheField>
    <cacheField name="Total Cost (USD)" numFmtId="2">
      <sharedItems containsSemiMixedTypes="0" containsString="0" containsNumber="1" minValue="2119.9655172413795" maxValue="186388.78275862068"/>
    </cacheField>
    <cacheField name="Unit Cost (USD)" numFmtId="166">
      <sharedItems containsSemiMixedTypes="0" containsString="0" containsNumber="1" minValue="8.1648012769431386E-2" maxValue="0.19657525675032306"/>
    </cacheField>
    <cacheField name="Cost per Ton (USD)" numFmtId="1">
      <sharedItems containsSemiMixedTypes="0" containsString="0" containsNumber="1" minValue="227.64829877156689" maxValue="301.97081995776858"/>
    </cacheField>
    <cacheField name="Operating Profit (USD)" numFmtId="2">
      <sharedItems containsSemiMixedTypes="0" containsString="0" containsNumber="1" minValue="-3091.3460657628234" maxValue="26356.375862068962"/>
    </cacheField>
    <cacheField name="Product Profitability (%)" numFmtId="167">
      <sharedItems containsSemiMixedTypes="0" containsString="0" containsNumber="1" minValue="-8.7616248186890525E-2" maxValue="0.25444113828434217"/>
    </cacheField>
    <cacheField name="Profit Margin (%)" numFmtId="167">
      <sharedItems containsSemiMixedTypes="0" containsString="0" containsNumber="1" minValue="-9.6030040005400746E-2" maxValue="0.202832265715020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x v="0"/>
    <x v="0"/>
    <s v="Colored"/>
    <x v="0"/>
    <s v="pcs"/>
    <n v="34560"/>
    <n v="0.45"/>
    <n v="15.552"/>
    <n v="0.12430066650702427"/>
    <n v="276.22370334894282"/>
    <n v="4295.8310344827587"/>
    <n v="4295.8310344827587"/>
    <n v="3310.2000000000003"/>
    <n v="463.36896551724141"/>
    <n v="94.527586206896558"/>
    <n v="3868.096551724138"/>
    <n v="0.11192409003831418"/>
    <n v="248.72020008514264"/>
    <n v="427.7344827586208"/>
    <n v="0.11058009463801143"/>
    <n v="9.9569670996178361E-2"/>
  </r>
  <r>
    <x v="1"/>
    <x v="1"/>
    <s v="Clear"/>
    <x v="1"/>
    <s v="pcs"/>
    <n v="163800"/>
    <n v="0.7"/>
    <n v="114.66"/>
    <n v="0.2164876005220833"/>
    <n v="309.26800074583332"/>
    <n v="35460.668965517245"/>
    <n v="35460.668965517245"/>
    <n v="28085.800000000003"/>
    <n v="3416.2896551724139"/>
    <n v="696.93448275862067"/>
    <n v="32199.024137931039"/>
    <n v="0.19657523893730794"/>
    <n v="280.82176991043991"/>
    <n v="3261.6448275862035"/>
    <n v="0.10129638754312204"/>
    <n v="9.197922438400416E-2"/>
  </r>
  <r>
    <x v="2"/>
    <x v="2"/>
    <s v="Colored"/>
    <x v="2"/>
    <s v="pcs"/>
    <n v="152364"/>
    <n v="0.33"/>
    <n v="50.280120000000004"/>
    <n v="8.793103448275863E-2"/>
    <n v="266.45768025078365"/>
    <n v="13397.524137931036"/>
    <n v="13397.524137931036"/>
    <n v="11977.557710958223"/>
    <n v="1616.9702909793602"/>
    <n v="359.32673132874669"/>
    <n v="13953.854733266331"/>
    <n v="9.1582360224635284E-2"/>
    <n v="277.52230371101604"/>
    <n v="-556.33059533529695"/>
    <n v="-3.986931252831457E-2"/>
    <n v="-4.1524880986048403E-2"/>
  </r>
  <r>
    <x v="0"/>
    <x v="0"/>
    <s v="Colored"/>
    <x v="2"/>
    <s v="pcs"/>
    <n v="256980"/>
    <n v="0.45"/>
    <n v="115.64100000000001"/>
    <n v="0.12413793103448276"/>
    <n v="275.86206896551727"/>
    <n v="31900.96551724138"/>
    <n v="31900.96551724138"/>
    <n v="24613.85345034318"/>
    <n v="3322.8702157963294"/>
    <n v="738.41560351029534"/>
    <n v="28675.139269649804"/>
    <n v="0.11158510105708538"/>
    <n v="247.96689123796753"/>
    <n v="3225.8262475915776"/>
    <n v="0.11249557385779954"/>
    <n v="0.10112001926236774"/>
  </r>
  <r>
    <x v="3"/>
    <x v="3"/>
    <s v="Colored"/>
    <x v="2"/>
    <s v="pcs"/>
    <n v="25630"/>
    <n v="0.45700000000000002"/>
    <n v="11.712909999999999"/>
    <n v="0.14137931034482759"/>
    <n v="309.36391760356145"/>
    <n v="3623.5517241379307"/>
    <n v="3623.5517241379307"/>
    <n v="2479.4665390519021"/>
    <n v="334.72798277200684"/>
    <n v="74.383996171557058"/>
    <n v="2888.5785179954664"/>
    <n v="0.11270302450235919"/>
    <n v="246.61493326555623"/>
    <n v="734.97320614246462"/>
    <n v="0.25444113828434217"/>
    <n v="0.20283226571502028"/>
  </r>
  <r>
    <x v="4"/>
    <x v="4"/>
    <s v="Colored"/>
    <x v="2"/>
    <s v="pcs"/>
    <n v="24960"/>
    <n v="0.37"/>
    <n v="9.2352000000000007"/>
    <n v="9.4484969053934581E-2"/>
    <n v="255.3647812268502"/>
    <n v="2358.344827586207"/>
    <n v="2358.344827586207"/>
    <n v="2110.8945879252205"/>
    <n v="284.97076936990481"/>
    <n v="63.326837637756618"/>
    <n v="2459.1921949328821"/>
    <n v="9.85253283226315E-2"/>
    <n v="266.28467114224725"/>
    <n v="-100.84736734667504"/>
    <n v="-4.1008330928533808E-2"/>
    <n v="-4.2761926147116269E-2"/>
  </r>
  <r>
    <x v="5"/>
    <x v="2"/>
    <s v="Clear"/>
    <x v="2"/>
    <s v="pcs"/>
    <n v="28900"/>
    <n v="0.35"/>
    <n v="10.115"/>
    <n v="0.10344827586206896"/>
    <n v="295.56650246305418"/>
    <n v="2989.655172413793"/>
    <n v="2989.655172413793"/>
    <n v="2453.2717730141626"/>
    <n v="331.19168935691192"/>
    <n v="73.598153190424867"/>
    <n v="2858.0616155614994"/>
    <n v="9.8894865590363298E-2"/>
    <n v="282.55675882960941"/>
    <n v="131.59355685229394"/>
    <n v="4.60429390800383E-2"/>
    <n v="4.4016299293154836E-2"/>
  </r>
  <r>
    <x v="6"/>
    <x v="2"/>
    <s v="Colored"/>
    <x v="3"/>
    <s v="pcs"/>
    <n v="156000"/>
    <n v="0.53"/>
    <n v="82.68"/>
    <n v="0.12758620689655173"/>
    <n v="240.72869225764475"/>
    <n v="19903.448275862069"/>
    <n v="19903.448275862069"/>
    <n v="17665.463601532567"/>
    <n v="2384.837586206897"/>
    <n v="529.96390804597706"/>
    <n v="20580.265095785442"/>
    <n v="0.1319247762550349"/>
    <n v="248.91467217931108"/>
    <n v="-676.81681992337337"/>
    <n v="-3.2886691049571377E-2"/>
    <n v="-3.400500308000317E-2"/>
  </r>
  <r>
    <x v="7"/>
    <x v="2"/>
    <s v="Colored"/>
    <x v="3"/>
    <s v="pcs"/>
    <n v="483500"/>
    <n v="0.34499999999999997"/>
    <n v="166.8075"/>
    <n v="8.9655172413793116E-2"/>
    <n v="259.87006496751627"/>
    <n v="43348.275862068964"/>
    <n v="43348.275862068964"/>
    <n v="34629.274536526689"/>
    <n v="4674.9520624311035"/>
    <n v="1038.8782360958007"/>
    <n v="40343.104835053593"/>
    <n v="8.3439720444785093E-2"/>
    <n v="241.85426215879735"/>
    <n v="3005.1710270153731"/>
    <n v="7.449032590085182E-2"/>
    <n v="6.9326195038935501E-2"/>
  </r>
  <r>
    <x v="8"/>
    <x v="2"/>
    <s v="Clear"/>
    <x v="3"/>
    <s v="pcs"/>
    <n v="259320"/>
    <n v="0.51"/>
    <n v="132.25320000000002"/>
    <n v="0.12413793103448276"/>
    <n v="243.40770791075047"/>
    <n v="32191.448275862069"/>
    <n v="32191.448275862069"/>
    <n v="30285.660379077159"/>
    <n v="4088.5641511754166"/>
    <n v="908.5698113723148"/>
    <n v="35282.794341624889"/>
    <n v="0.13605890151791181"/>
    <n v="266.78215983904272"/>
    <n v="-3091.3460657628234"/>
    <n v="-8.7616248186890525E-2"/>
    <n v="-9.6030040005400746E-2"/>
  </r>
  <r>
    <x v="9"/>
    <x v="2"/>
    <s v="Clear"/>
    <x v="3"/>
    <s v="pcs"/>
    <n v="763980"/>
    <n v="0.41499999999999998"/>
    <n v="317.05170000000004"/>
    <n v="0.12068965517241378"/>
    <n v="290.81844619858742"/>
    <n v="92204.482758620696"/>
    <n v="92204.482758620696"/>
    <n v="74879.802765401007"/>
    <n v="10108.773373329137"/>
    <n v="2246.3940829620301"/>
    <n v="87234.970221692172"/>
    <n v="0.11418488732910831"/>
    <n v="275.14430681712844"/>
    <n v="4969.5125369285233"/>
    <n v="5.6966976939401608E-2"/>
    <n v="5.3896647844531152E-2"/>
  </r>
  <r>
    <x v="10"/>
    <x v="2"/>
    <s v="Clear"/>
    <x v="4"/>
    <s v="pcs"/>
    <n v="85620"/>
    <n v="0.44500000000000001"/>
    <n v="38.100900000000003"/>
    <n v="0.12931034482758622"/>
    <n v="290.58504455637348"/>
    <n v="11071.551724137931"/>
    <n v="11071.551724137931"/>
    <n v="9875.8455056900821"/>
    <n v="1333.2391432681611"/>
    <n v="296.27536517070246"/>
    <n v="11505.360014128944"/>
    <n v="0.13437701488120701"/>
    <n v="301.97081995776858"/>
    <n v="-433.80828999101328"/>
    <n v="-3.7704886197240509E-2"/>
    <n v="-3.9182248414667553E-2"/>
  </r>
  <r>
    <x v="11"/>
    <x v="2"/>
    <s v="Colored"/>
    <x v="4"/>
    <s v="pcs"/>
    <n v="256300"/>
    <n v="0.33"/>
    <n v="84.578999999999994"/>
    <n v="8.793103448275863E-2"/>
    <n v="266.45768025078371"/>
    <n v="22536.724137931036"/>
    <n v="22536.724137931036"/>
    <n v="17962.562809274903"/>
    <n v="2424.9459792521125"/>
    <n v="538.87688427824708"/>
    <n v="20926.385672805263"/>
    <n v="8.1648012769431386E-2"/>
    <n v="247.41822051342845"/>
    <n v="1610.3384651257711"/>
    <n v="7.695253687398465E-2"/>
    <n v="7.1453972426074472E-2"/>
  </r>
  <r>
    <x v="2"/>
    <x v="2"/>
    <s v="Colored"/>
    <x v="5"/>
    <s v="pcs"/>
    <n v="46592"/>
    <n v="0.33"/>
    <n v="15.375360000000001"/>
    <n v="8.6206896551724144E-2"/>
    <n v="261.23301985370949"/>
    <n v="4016.5517241379312"/>
    <n v="4819.8620689655172"/>
    <n v="3662.6655172413793"/>
    <n v="458.10689655172416"/>
    <n v="93.455172413793093"/>
    <n v="4214.2275862068964"/>
    <n v="9.0449596201212595E-2"/>
    <n v="274.08968545821995"/>
    <n v="-197.67586206896559"/>
    <n v="-4.6906783752248146E-2"/>
    <n v="-4.9215315934065952E-2"/>
  </r>
  <r>
    <x v="0"/>
    <x v="0"/>
    <s v="Colored"/>
    <x v="5"/>
    <s v="pcs"/>
    <n v="200160"/>
    <n v="0.45"/>
    <n v="90.072000000000003"/>
    <n v="0.12413793103448277"/>
    <n v="275.86206896551727"/>
    <n v="24847.448275862072"/>
    <n v="29816.937931034481"/>
    <n v="19171.565517241379"/>
    <n v="2683.6793103448276"/>
    <n v="547.46896551724137"/>
    <n v="22402.713793103449"/>
    <n v="0.11192402974172387"/>
    <n v="248.72006609271969"/>
    <n v="2444.7344827586217"/>
    <n v="0.10912671140365235"/>
    <n v="9.838976041389115E-2"/>
  </r>
  <r>
    <x v="3"/>
    <x v="3"/>
    <s v="Colored"/>
    <x v="5"/>
    <s v="pcs"/>
    <n v="85008"/>
    <n v="0.45700000000000002"/>
    <n v="38.848656000000005"/>
    <n v="0.13793103448275862"/>
    <n v="301.81845619859649"/>
    <n v="11725.241379310344"/>
    <n v="14070.289655172413"/>
    <n v="8223.7413793103442"/>
    <n v="1157.4896551724137"/>
    <n v="236.13103448275862"/>
    <n v="9617.3620689655163"/>
    <n v="0.1131347881254178"/>
    <n v="247.55971143417463"/>
    <n v="2107.879310344827"/>
    <n v="0.21917437393220232"/>
    <n v="0.17977278609072084"/>
  </r>
  <r>
    <x v="4"/>
    <x v="4"/>
    <s v="Colored"/>
    <x v="5"/>
    <s v="pcs"/>
    <n v="170816"/>
    <n v="0.37"/>
    <n v="63.201920000000001"/>
    <n v="9.3103448275862075E-2"/>
    <n v="251.63094128611368"/>
    <n v="15903.558620689655"/>
    <n v="19084.272413793104"/>
    <n v="14446.096551724138"/>
    <n v="1883.0965517241377"/>
    <n v="384.15517241379308"/>
    <n v="16713.34827586207"/>
    <n v="9.7844161412643266E-2"/>
    <n v="264.44367949363044"/>
    <n v="-809.78965517241613"/>
    <n v="-4.8451671191579192E-2"/>
    <n v="-5.0918770728390579E-2"/>
  </r>
  <r>
    <x v="5"/>
    <x v="2"/>
    <s v="Clear"/>
    <x v="5"/>
    <s v="pcs"/>
    <n v="107520"/>
    <n v="0.35"/>
    <n v="37.631999999999998"/>
    <n v="9.9999999999999992E-2"/>
    <n v="285.71428571428572"/>
    <n v="10752"/>
    <n v="12902.4"/>
    <n v="9127.189655172413"/>
    <n v="1121.2379310344829"/>
    <n v="228.73448275862071"/>
    <n v="10477.162068965517"/>
    <n v="9.7443843647372741E-2"/>
    <n v="278.41098184963641"/>
    <n v="274.83793103448238"/>
    <n v="2.6232096938595798E-2"/>
    <n v="2.5561563526272542E-2"/>
  </r>
  <r>
    <x v="6"/>
    <x v="2"/>
    <s v="Colored"/>
    <x v="5"/>
    <s v="pcs"/>
    <n v="140400"/>
    <n v="0.53"/>
    <n v="74.412000000000006"/>
    <n v="0.12758620689655173"/>
    <n v="240.72869225764475"/>
    <n v="17913.103448275862"/>
    <n v="21495.724137931036"/>
    <n v="15898.917241379311"/>
    <n v="2217.1"/>
    <n v="452.28965517241386"/>
    <n v="18568.306896551723"/>
    <n v="0.13225289812358776"/>
    <n v="249.53377004450522"/>
    <n v="-655.20344827586086"/>
    <n v="-3.5286116926338457E-2"/>
    <n v="-3.657676907676901E-2"/>
  </r>
  <r>
    <x v="7"/>
    <x v="2"/>
    <s v="Colored"/>
    <x v="5"/>
    <s v="pcs"/>
    <n v="480480"/>
    <n v="0.34499999999999997"/>
    <n v="165.76559999999998"/>
    <n v="8.6206896551724144E-2"/>
    <n v="249.87506246876566"/>
    <n v="41420.689655172413"/>
    <n v="49704.827586206899"/>
    <n v="34412.975862068968"/>
    <n v="4938.9655172413795"/>
    <n v="1007.551724137931"/>
    <n v="40359.49310344828"/>
    <n v="8.3998279019830743E-2"/>
    <n v="243.47327252124859"/>
    <n v="1061.1965517241383"/>
    <n v="2.6293604555540633E-2"/>
    <n v="2.5619963369963378E-2"/>
  </r>
  <r>
    <x v="8"/>
    <x v="2"/>
    <s v="Clear"/>
    <x v="5"/>
    <s v="pcs"/>
    <n v="264992"/>
    <n v="0.51"/>
    <n v="135.14592000000002"/>
    <n v="0.12413793103448276"/>
    <n v="243.40770791075047"/>
    <n v="32895.558620689655"/>
    <n v="39474.665517241381"/>
    <n v="30948.086206896551"/>
    <n v="4026.6655172413793"/>
    <n v="821.43793103448286"/>
    <n v="35796.189655172413"/>
    <n v="0.13508403897163843"/>
    <n v="264.87066465027141"/>
    <n v="-2900.6310344827593"/>
    <n v="-8.1031837813598948E-2"/>
    <n v="-8.8176980604865243E-2"/>
  </r>
  <r>
    <x v="9"/>
    <x v="2"/>
    <s v="Clear"/>
    <x v="5"/>
    <s v="pcs"/>
    <n v="99680"/>
    <n v="0.41499999999999998"/>
    <n v="41.367199999999997"/>
    <n v="0.12068965517241378"/>
    <n v="290.81844619858748"/>
    <n v="12030.344827586207"/>
    <n v="14436.413793103447"/>
    <n v="9769.9137931034493"/>
    <n v="1232.5275862068966"/>
    <n v="251.43793103448274"/>
    <n v="11253.879310344828"/>
    <n v="0.11290007333813029"/>
    <n v="272.04836948947064"/>
    <n v="776.4655172413793"/>
    <n v="6.8995365582749241E-2"/>
    <n v="6.4542249484063285E-2"/>
  </r>
  <r>
    <x v="10"/>
    <x v="2"/>
    <s v="Clear"/>
    <x v="5"/>
    <s v="pcs"/>
    <n v="193440"/>
    <n v="0.44500000000000001"/>
    <n v="86.080799999999996"/>
    <n v="0.12758620689655173"/>
    <n v="286.71057729562187"/>
    <n v="24680.275862068967"/>
    <n v="29616.331034482759"/>
    <n v="22312.35172413793"/>
    <n v="2564.7620689655173"/>
    <n v="523.21724137931028"/>
    <n v="25400.331034482762"/>
    <n v="0.13130857648099029"/>
    <n v="295.0754527662703"/>
    <n v="-720.05517241379437"/>
    <n v="-2.834825937647301E-2"/>
    <n v="-2.9175329175329223E-2"/>
  </r>
  <r>
    <x v="11"/>
    <x v="2"/>
    <s v="Colored"/>
    <x v="5"/>
    <s v="pcs"/>
    <n v="99008"/>
    <n v="0.33"/>
    <n v="32.672640000000001"/>
    <n v="8.6206896551724144E-2"/>
    <n v="261.23301985370949"/>
    <n v="8535.1724137931033"/>
    <n v="10242.206896551725"/>
    <n v="6938.8896551724138"/>
    <n v="973.47586206896551"/>
    <n v="198.59310344827585"/>
    <n v="8110.9586206896547"/>
    <n v="8.1922254976261058E-2"/>
    <n v="248.24925750382141"/>
    <n v="424.21379310344867"/>
    <n v="5.2301313931173626E-2"/>
    <n v="4.9701842275371735E-2"/>
  </r>
  <r>
    <x v="12"/>
    <x v="2"/>
    <s v="Colored"/>
    <x v="5"/>
    <s v="pcs"/>
    <n v="466752"/>
    <n v="0.37"/>
    <n v="172.69824"/>
    <n v="9.6551724137931033E-2"/>
    <n v="260.95060577819197"/>
    <n v="45065.710344827588"/>
    <n v="54078.84482758621"/>
    <n v="36137.796551724139"/>
    <n v="5145.5344827586205"/>
    <n v="1049.703448275862"/>
    <n v="42333.034482758623"/>
    <n v="9.0697060714809208E-2"/>
    <n v="245.12719112110597"/>
    <n v="2732.6758620689639"/>
    <n v="6.4551854017975641E-2"/>
    <n v="6.0637585453761883E-2"/>
  </r>
  <r>
    <x v="13"/>
    <x v="2"/>
    <s v="Clear"/>
    <x v="5"/>
    <s v="pcs"/>
    <n v="117936"/>
    <n v="0.46500000000000002"/>
    <n v="54.840240000000009"/>
    <n v="0.13793103448275862"/>
    <n v="296.62588060808304"/>
    <n v="16267.034482758621"/>
    <n v="19520.441379310345"/>
    <n v="12563.306896551723"/>
    <n v="1633.9551724137932"/>
    <n v="333.33103448275864"/>
    <n v="14530.593103448276"/>
    <n v="0.12320744389709906"/>
    <n v="264.96224493999796"/>
    <n v="1736.4413793103449"/>
    <n v="0.11950244335850733"/>
    <n v="0.10674603174603176"/>
  </r>
  <r>
    <x v="14"/>
    <x v="2"/>
    <s v="Clear"/>
    <x v="5"/>
    <s v="pcs"/>
    <n v="158536"/>
    <n v="0.34699999999999998"/>
    <n v="55.011991999999999"/>
    <n v="9.6551724137931047E-2"/>
    <n v="278.2470436251615"/>
    <n v="15306.924137931035"/>
    <n v="18368.310344827587"/>
    <n v="13295.679310344829"/>
    <n v="1639.0827586206897"/>
    <n v="334.37241379310342"/>
    <n v="15269.13448275862"/>
    <n v="9.6313357740567568E-2"/>
    <n v="277.56010876244255"/>
    <n v="37.789655172415102"/>
    <n v="2.4749048621639865E-3"/>
    <n v="2.4687948298359403E-3"/>
  </r>
  <r>
    <x v="15"/>
    <x v="2"/>
    <s v="Clear"/>
    <x v="5"/>
    <s v="pcs"/>
    <n v="119340"/>
    <n v="0.42499999999999999"/>
    <n v="50.719499999999996"/>
    <n v="0.11379310344827585"/>
    <n v="267.74847870182555"/>
    <n v="13580.068965517241"/>
    <n v="16296.082758620691"/>
    <n v="12568.541379310343"/>
    <n v="1511.1827586206898"/>
    <n v="308.28620689655173"/>
    <n v="14388.010344827586"/>
    <n v="0.12056318371734193"/>
    <n v="283.67807933492219"/>
    <n v="-807.94137931034447"/>
    <n v="-5.6153794718447309E-2"/>
    <n v="-5.9494644788762409E-2"/>
  </r>
  <r>
    <x v="16"/>
    <x v="1"/>
    <s v="Clear"/>
    <x v="5"/>
    <s v="pcs"/>
    <n v="29204"/>
    <n v="0.63"/>
    <n v="18.398520000000001"/>
    <n v="0.17931034482758623"/>
    <n v="284.6195949644225"/>
    <n v="5236.5793103448277"/>
    <n v="6283.8965517241377"/>
    <n v="4421.0413793103453"/>
    <n v="548.1827586206897"/>
    <n v="111.82758620689656"/>
    <n v="5081.0517241379312"/>
    <n v="0.17398478715716789"/>
    <n v="276.16632882090141"/>
    <n v="155.52758620689679"/>
    <n v="3.06093294559571E-2"/>
    <n v="2.970022546964066E-2"/>
  </r>
  <r>
    <x v="17"/>
    <x v="1"/>
    <s v="Colored"/>
    <x v="5"/>
    <s v="pcs"/>
    <n v="1259104"/>
    <n v="0.63"/>
    <n v="793.23552000000007"/>
    <n v="0.16896551724137931"/>
    <n v="268.19923371647508"/>
    <n v="212745.15862068965"/>
    <n v="255294.24137931038"/>
    <n v="157933.04827586209"/>
    <n v="23634.365517241382"/>
    <n v="4821.3689655172411"/>
    <n v="186388.78275862068"/>
    <n v="0.14803287318491617"/>
    <n v="234.97281457923197"/>
    <n v="26356.375862068962"/>
    <n v="0.14140537575268838"/>
    <n v="0.12388707706886347"/>
  </r>
  <r>
    <x v="18"/>
    <x v="1"/>
    <s v="Colored"/>
    <x v="5"/>
    <s v="pcs"/>
    <n v="520772"/>
    <n v="0.63"/>
    <n v="328.08636000000001"/>
    <n v="0.16896551724137931"/>
    <n v="268.19923371647508"/>
    <n v="87992.510344827591"/>
    <n v="105591.03448275862"/>
    <n v="66153.034482758623"/>
    <n v="9775.303448275863"/>
    <n v="1994.1448275862072"/>
    <n v="77922.482758620681"/>
    <n v="0.14962878718253034"/>
    <n v="237.50601140084177"/>
    <n v="10070.027586206903"/>
    <n v="0.12923134928080612"/>
    <n v="0.11444187177686133"/>
  </r>
  <r>
    <x v="19"/>
    <x v="1"/>
    <s v="Colored"/>
    <x v="5"/>
    <s v="pcs"/>
    <n v="105840"/>
    <n v="0.57499999999999996"/>
    <n v="60.85799999999999"/>
    <n v="0.14827586206896551"/>
    <n v="257.87106446776619"/>
    <n v="15693.51724137931"/>
    <n v="18832.224137931033"/>
    <n v="12411.034482758621"/>
    <n v="1813.2620689655173"/>
    <n v="369.90689655172417"/>
    <n v="14594.203448275863"/>
    <n v="0.13788929939792011"/>
    <n v="239.80747721377412"/>
    <n v="1099.3137931034464"/>
    <n v="7.5325371268091898E-2"/>
    <n v="7.0048911037283015E-2"/>
  </r>
  <r>
    <x v="1"/>
    <x v="1"/>
    <s v="Clear"/>
    <x v="5"/>
    <s v="pcs"/>
    <n v="304200"/>
    <n v="0.7"/>
    <n v="212.94"/>
    <n v="0.19655172413793101"/>
    <n v="280.78817733990149"/>
    <n v="59791.034482758623"/>
    <n v="71749.241379310348"/>
    <n v="52159.348275862067"/>
    <n v="6344.5379310344833"/>
    <n v="1294.3068965517241"/>
    <n v="59798.19310344827"/>
    <n v="0.19657525675032306"/>
    <n v="280.82179535760434"/>
    <n v="-7.1586206896483482"/>
    <n v="-1.1971299328834645E-4"/>
    <n v="-1.1972732620494487E-4"/>
  </r>
  <r>
    <x v="1"/>
    <x v="1"/>
    <s v="Colored"/>
    <x v="5"/>
    <s v="pcs"/>
    <n v="82800"/>
    <n v="0.7"/>
    <n v="57.959999999999994"/>
    <n v="0.19655172413793101"/>
    <n v="280.78817733990149"/>
    <n v="16274.48275862069"/>
    <n v="19529.379310344826"/>
    <n v="11945.603448275862"/>
    <n v="1726.9172413793106"/>
    <n v="352.29310344827587"/>
    <n v="14024.813793103449"/>
    <n v="0.16938180909545228"/>
    <n v="241.97401299350329"/>
    <n v="2249.6689655172418"/>
    <n v="0.16040633399521442"/>
    <n v="0.13823290109331302"/>
  </r>
  <r>
    <x v="20"/>
    <x v="1"/>
    <s v="Colored"/>
    <x v="5"/>
    <s v="pcs"/>
    <n v="17550"/>
    <n v="0.47199999999999998"/>
    <n v="8.2835999999999999"/>
    <n v="0.12758620689655173"/>
    <n v="270.30976037405026"/>
    <n v="2239.1379310344828"/>
    <n v="2686.9655172413795"/>
    <n v="1822.8068965517243"/>
    <n v="246.81034482758622"/>
    <n v="50.348275862068967"/>
    <n v="2119.9655172413795"/>
    <n v="0.12079575596816977"/>
    <n v="255.92321179696984"/>
    <n v="119.17241379310326"/>
    <n v="5.6214317083882206E-2"/>
    <n v="5.3222453222453135E-2"/>
  </r>
  <r>
    <x v="0"/>
    <x v="0"/>
    <s v="Clear"/>
    <x v="5"/>
    <s v="pcs"/>
    <n v="74880"/>
    <n v="0.45"/>
    <n v="33.695999999999998"/>
    <n v="0.12413793103448276"/>
    <n v="275.86206896551727"/>
    <n v="9295.4482758620688"/>
    <n v="11154.537931034483"/>
    <n v="7953.5724137931038"/>
    <n v="1003.9655172413793"/>
    <n v="204.80689655172415"/>
    <n v="9162.3448275862065"/>
    <n v="0.12236037430002948"/>
    <n v="271.9119428889544"/>
    <n v="133.10344827586206"/>
    <n v="1.452722537522393E-2"/>
    <n v="1.4319207027540361E-2"/>
  </r>
  <r>
    <x v="21"/>
    <x v="0"/>
    <s v="Colored"/>
    <x v="5"/>
    <s v="pcs"/>
    <n v="146250"/>
    <n v="0.57999999999999996"/>
    <n v="84.825000000000003"/>
    <n v="0.14827586206896551"/>
    <n v="255.64803804994054"/>
    <n v="21685.344827586207"/>
    <n v="26022.413793103449"/>
    <n v="16832.844827586207"/>
    <n v="2527.344827586207"/>
    <n v="515.58620689655174"/>
    <n v="19875.775862068967"/>
    <n v="0.13590274093722368"/>
    <n v="234.31507058142017"/>
    <n v="1809.5689655172414"/>
    <n v="9.1043941030278588E-2"/>
    <n v="8.3446630888491358E-2"/>
  </r>
  <r>
    <x v="22"/>
    <x v="0"/>
    <s v="Clear"/>
    <x v="5"/>
    <s v="pcs"/>
    <n v="135373"/>
    <n v="0.438"/>
    <n v="59.293374"/>
    <n v="0.1103448275862069"/>
    <n v="251.92883010549519"/>
    <n v="14937.710344827587"/>
    <n v="17925.251724137932"/>
    <n v="13303.796551724139"/>
    <n v="1766.641379310345"/>
    <n v="360.39310344827589"/>
    <n v="15430.831034482761"/>
    <n v="0.11398750884210854"/>
    <n v="260.24545397741679"/>
    <n v="-493.12068965517341"/>
    <n v="-3.1956845911488056E-2"/>
    <n v="-3.3011798881608656E-2"/>
  </r>
  <r>
    <x v="23"/>
    <x v="0"/>
    <s v="Colored"/>
    <x v="5"/>
    <s v="pcs"/>
    <n v="536599"/>
    <n v="0.438"/>
    <n v="235.030362"/>
    <n v="0.11034482758620691"/>
    <n v="251.92883010549519"/>
    <n v="59210.924137931033"/>
    <n v="71053.100000000006"/>
    <n v="45073"/>
    <n v="7002.7000000000007"/>
    <n v="1428.5620689655173"/>
    <n v="53504.262068965516"/>
    <n v="9.9709954861946282E-2"/>
    <n v="227.64829877156689"/>
    <n v="5706.6620689655201"/>
    <n v="0.10665808382909366"/>
    <n v="9.6378534063611798E-2"/>
  </r>
  <r>
    <x v="24"/>
    <x v="0"/>
    <s v="Colored"/>
    <x v="5"/>
    <s v="pcs"/>
    <n v="37440"/>
    <n v="0.45"/>
    <n v="16.847999999999999"/>
    <n v="0.12413793103448276"/>
    <n v="275.86206896551727"/>
    <n v="4647.7241379310344"/>
    <n v="5577.2689655172417"/>
    <n v="3558.4172413793103"/>
    <n v="501.98275862068965"/>
    <n v="102.40344827586208"/>
    <n v="4162.8034482758621"/>
    <n v="0.11118598953728263"/>
    <n v="247.07997674951696"/>
    <n v="484.92068965517257"/>
    <n v="0.11648897087755024"/>
    <n v="0.10433508428300098"/>
  </r>
  <r>
    <x v="25"/>
    <x v="0"/>
    <s v="Colored"/>
    <x v="5"/>
    <s v="pcs"/>
    <n v="31140"/>
    <n v="0.5"/>
    <n v="15.57"/>
    <n v="0.14137931034482759"/>
    <n v="282.75862068965517"/>
    <n v="4402.5517241379312"/>
    <n v="5283.062068965517"/>
    <n v="3541.1241379310345"/>
    <n v="463.90689655172412"/>
    <n v="94.637931034482762"/>
    <n v="4099.6689655172422"/>
    <n v="0.1316528248399885"/>
    <n v="263.30564967997697"/>
    <n v="302.88275862068923"/>
    <n v="7.387980863046964E-2"/>
    <n v="6.879709259520330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5FA4EB-245B-4101-BF6E-30A47A38CD4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30" firstHeaderRow="0" firstDataRow="1" firstDataCol="1"/>
  <pivotFields count="21">
    <pivotField axis="axisRow" showAll="0">
      <items count="30">
        <item x="25"/>
        <item x="5"/>
        <item x="16"/>
        <item x="18"/>
        <item x="17"/>
        <item x="6"/>
        <item x="7"/>
        <item x="19"/>
        <item x="8"/>
        <item x="2"/>
        <item m="1" x="27"/>
        <item m="1" x="26"/>
        <item x="1"/>
        <item x="9"/>
        <item x="10"/>
        <item x="21"/>
        <item x="11"/>
        <item x="4"/>
        <item x="12"/>
        <item x="13"/>
        <item x="14"/>
        <item m="1" x="28"/>
        <item x="22"/>
        <item x="20"/>
        <item x="0"/>
        <item x="24"/>
        <item x="3"/>
        <item x="15"/>
        <item x="23"/>
        <item t="default"/>
      </items>
    </pivotField>
    <pivotField showAll="0"/>
    <pivotField showAll="0"/>
    <pivotField showAll="0"/>
    <pivotField showAll="0"/>
    <pivotField dataField="1" showAll="0"/>
    <pivotField showAll="0"/>
    <pivotField numFmtId="165" showAll="0"/>
    <pivotField numFmtId="166" showAll="0"/>
    <pivotField numFmtId="1" showAll="0"/>
    <pivotField numFmtId="2" showAll="0"/>
    <pivotField numFmtId="2" showAll="0"/>
    <pivotField numFmtId="2" showAll="0"/>
    <pivotField numFmtId="2" showAll="0"/>
    <pivotField numFmtId="2" showAll="0"/>
    <pivotField dataField="1" numFmtId="2" showAll="0"/>
    <pivotField numFmtId="166" showAll="0"/>
    <pivotField numFmtId="1" showAll="0"/>
    <pivotField dataField="1" numFmtId="2" showAll="0"/>
    <pivotField numFmtId="167" showAll="0"/>
    <pivotField numFmtId="167" showAll="0"/>
  </pivotFields>
  <rowFields count="1">
    <field x="0"/>
  </rowFields>
  <rowItems count="27">
    <i>
      <x/>
    </i>
    <i>
      <x v="1"/>
    </i>
    <i>
      <x v="2"/>
    </i>
    <i>
      <x v="3"/>
    </i>
    <i>
      <x v="4"/>
    </i>
    <i>
      <x v="5"/>
    </i>
    <i>
      <x v="6"/>
    </i>
    <i>
      <x v="7"/>
    </i>
    <i>
      <x v="8"/>
    </i>
    <i>
      <x v="9"/>
    </i>
    <i>
      <x v="12"/>
    </i>
    <i>
      <x v="13"/>
    </i>
    <i>
      <x v="14"/>
    </i>
    <i>
      <x v="15"/>
    </i>
    <i>
      <x v="16"/>
    </i>
    <i>
      <x v="17"/>
    </i>
    <i>
      <x v="18"/>
    </i>
    <i>
      <x v="19"/>
    </i>
    <i>
      <x v="20"/>
    </i>
    <i>
      <x v="22"/>
    </i>
    <i>
      <x v="23"/>
    </i>
    <i>
      <x v="24"/>
    </i>
    <i>
      <x v="25"/>
    </i>
    <i>
      <x v="26"/>
    </i>
    <i>
      <x v="27"/>
    </i>
    <i>
      <x v="28"/>
    </i>
    <i t="grand">
      <x/>
    </i>
  </rowItems>
  <colFields count="1">
    <field x="-2"/>
  </colFields>
  <colItems count="3">
    <i>
      <x/>
    </i>
    <i i="1">
      <x v="1"/>
    </i>
    <i i="2">
      <x v="2"/>
    </i>
  </colItems>
  <dataFields count="3">
    <dataField name="Sum of Total Cost (USD)" fld="15" baseField="0" baseItem="0" numFmtId="2"/>
    <dataField name="Sum of Operating Profit (USD)" fld="18" baseField="0" baseItem="0" numFmtId="2"/>
    <dataField name="Sum of Quantity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0B6773-4FC4-4AF1-87CA-D9A0C980281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7" firstHeaderRow="0" firstDataRow="1" firstDataCol="1"/>
  <pivotFields count="21">
    <pivotField showAll="0"/>
    <pivotField axis="axisRow" showAll="0" sortType="ascending">
      <items count="6">
        <item x="3"/>
        <item x="2"/>
        <item x="4"/>
        <item x="0"/>
        <item x="1"/>
        <item t="default"/>
      </items>
    </pivotField>
    <pivotField showAll="0"/>
    <pivotField showAll="0">
      <items count="7">
        <item x="0"/>
        <item x="5"/>
        <item x="4"/>
        <item x="1"/>
        <item x="3"/>
        <item x="2"/>
        <item t="default"/>
      </items>
    </pivotField>
    <pivotField showAll="0"/>
    <pivotField showAll="0"/>
    <pivotField showAll="0"/>
    <pivotField numFmtId="165" showAll="0"/>
    <pivotField numFmtId="166" showAll="0"/>
    <pivotField numFmtId="1" showAll="0"/>
    <pivotField numFmtId="2" showAll="0"/>
    <pivotField numFmtId="2" showAll="0"/>
    <pivotField numFmtId="2" showAll="0"/>
    <pivotField numFmtId="2" showAll="0"/>
    <pivotField numFmtId="2" showAll="0"/>
    <pivotField dataField="1" numFmtId="2" showAll="0"/>
    <pivotField numFmtId="166" showAll="0"/>
    <pivotField numFmtId="1" showAll="0"/>
    <pivotField dataField="1" numFmtId="2" showAll="0"/>
    <pivotField numFmtId="167" showAll="0"/>
    <pivotField numFmtId="167" showAll="0"/>
  </pivotFields>
  <rowFields count="1">
    <field x="1"/>
  </rowFields>
  <rowItems count="6">
    <i>
      <x/>
    </i>
    <i>
      <x v="1"/>
    </i>
    <i>
      <x v="2"/>
    </i>
    <i>
      <x v="3"/>
    </i>
    <i>
      <x v="4"/>
    </i>
    <i t="grand">
      <x/>
    </i>
  </rowItems>
  <colFields count="1">
    <field x="-2"/>
  </colFields>
  <colItems count="2">
    <i>
      <x/>
    </i>
    <i i="1">
      <x v="1"/>
    </i>
  </colItems>
  <dataFields count="2">
    <dataField name="Sum of Operating Profit (USD)" fld="18" baseField="0" baseItem="0" numFmtId="2"/>
    <dataField name="Sum of Total Cost (USD)" fld="1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42">
  <autoFilter ref="A1:U42" xr:uid="{00000000-0009-0000-0100-000001000000}"/>
  <tableColumns count="21">
    <tableColumn id="1" xr3:uid="{00000000-0010-0000-0000-000001000000}" name="Продукция"/>
    <tableColumn id="2" xr3:uid="{00000000-0010-0000-0000-000002000000}" name="Емкость (литр)"/>
    <tableColumn id="3" xr3:uid="{00000000-0010-0000-0000-000003000000}" name="Цвет стекла"/>
    <tableColumn id="4" xr3:uid="{00000000-0010-0000-0000-000004000000}" name="Страна реализации"/>
    <tableColumn id="5" xr3:uid="{00000000-0010-0000-0000-000005000000}" name="Единица измерения"/>
    <tableColumn id="6" xr3:uid="{00000000-0010-0000-0000-000006000000}" name="Количество отгруженной продукции"/>
    <tableColumn id="7" xr3:uid="{00000000-0010-0000-0000-000007000000}" name="Масса единицы продукции, кг"/>
    <tableColumn id="8" xr3:uid="{00000000-0010-0000-0000-000008000000}" name="Вес отгруженной продукции, тонн"/>
    <tableColumn id="9" xr3:uid="{00000000-0010-0000-0000-000009000000}" name="Средняя отпускная цена единицы за период, рублей/копеек"/>
    <tableColumn id="10" xr3:uid="{00000000-0010-0000-0000-00000A000000}" name="Средняя отпускная цена тонны за период, рублей/копеек"/>
    <tableColumn id="11" xr3:uid="{00000000-0010-0000-0000-00000B000000}" name="Выручка/доход от реализации (без налога на добавленную стоимость),рублей/копеек"/>
    <tableColumn id="12" xr3:uid="{00000000-0010-0000-0000-00000C000000}" name="Выручка/доход от реализации  (с налогом на добавленную стоимость), рублей/копеек"/>
    <tableColumn id="13" xr3:uid="{00000000-0010-0000-0000-00000D000000}" name="Производственная себестоимость,рублей/копеек"/>
    <tableColumn id="14" xr3:uid="{00000000-0010-0000-0000-00000E000000}" name="Административные расходы, рублей/копеек"/>
    <tableColumn id="15" xr3:uid="{00000000-0010-0000-0000-00000F000000}" name="Коммерческие расходы, рублей/копеек"/>
    <tableColumn id="16" xr3:uid="{00000000-0010-0000-0000-000010000000}" name="Полная себестоимость (производственная + административные расходы+коммерческие расходы), рублей/копеек"/>
    <tableColumn id="17" xr3:uid="{00000000-0010-0000-0000-000011000000}" name="Себестоимость одной единицы, рублей/копеек"/>
    <tableColumn id="18" xr3:uid="{00000000-0010-0000-0000-000012000000}" name="Себестоимость 1 тонны продукции, рублей/копеек"/>
    <tableColumn id="19" xr3:uid="{00000000-0010-0000-0000-000013000000}" name="Прибыль от реализации продукции, рублей/копеек"/>
    <tableColumn id="20" xr3:uid="{00000000-0010-0000-0000-000014000000}" name="Рентабельность реализованной продукции, %"/>
    <tableColumn id="21" xr3:uid="{00000000-0010-0000-0000-000015000000}" name="Рентабельность продаж, %"/>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U42">
  <autoFilter ref="A1:U42" xr:uid="{00000000-0009-0000-0100-000002000000}"/>
  <tableColumns count="21">
    <tableColumn id="1" xr3:uid="{00000000-0010-0000-0100-000001000000}" name="Product"/>
    <tableColumn id="2" xr3:uid="{00000000-0010-0000-0100-000002000000}" name="Container Volume (L)"/>
    <tableColumn id="3" xr3:uid="{00000000-0010-0000-0100-000003000000}" name="Glass Color"/>
    <tableColumn id="4" xr3:uid="{00000000-0010-0000-0100-000004000000}" name="Sales Country"/>
    <tableColumn id="5" xr3:uid="{00000000-0010-0000-0100-000005000000}" name="Unit of Measure"/>
    <tableColumn id="6" xr3:uid="{00000000-0010-0000-0100-000006000000}" name="Quantity Sold"/>
    <tableColumn id="7" xr3:uid="{00000000-0010-0000-0100-000007000000}" name="Unit Weight (kg)"/>
    <tableColumn id="8" xr3:uid="{00000000-0010-0000-0100-000008000000}" name="Total Weight (tons)"/>
    <tableColumn id="9" xr3:uid="{00000000-0010-0000-0100-000009000000}" name="Average Selling Price per Unit (USD)" dataDxfId="13"/>
    <tableColumn id="10" xr3:uid="{00000000-0010-0000-0100-00000A000000}" name="Average Selling Price per Ton (USD)" dataDxfId="12"/>
    <tableColumn id="11" xr3:uid="{00000000-0010-0000-0100-00000B000000}" name="Net Revenue, excl. VAT (USD)" dataDxfId="11"/>
    <tableColumn id="12" xr3:uid="{00000000-0010-0000-0100-00000C000000}" name="Gross Revenue, incl. VAT (USD)" dataDxfId="10"/>
    <tableColumn id="13" xr3:uid="{00000000-0010-0000-0100-00000D000000}" name="Manufacturing Cost (USD)" dataDxfId="9"/>
    <tableColumn id="14" xr3:uid="{00000000-0010-0000-0100-00000E000000}" name="Administrative Expenses (USD)" dataDxfId="8"/>
    <tableColumn id="15" xr3:uid="{00000000-0010-0000-0100-00000F000000}" name="Selling Expenses (USD)" dataDxfId="7"/>
    <tableColumn id="16" xr3:uid="{00000000-0010-0000-0100-000010000000}" name="Total Cost (USD)" dataDxfId="6"/>
    <tableColumn id="17" xr3:uid="{00000000-0010-0000-0100-000011000000}" name="Unit Cost (USD)" dataDxfId="5"/>
    <tableColumn id="18" xr3:uid="{00000000-0010-0000-0100-000012000000}" name="Cost per Ton (USD)" dataDxfId="4"/>
    <tableColumn id="19" xr3:uid="{00000000-0010-0000-0100-000013000000}" name="Operating Profit (USD)" dataDxfId="3"/>
    <tableColumn id="20" xr3:uid="{00000000-0010-0000-0100-000014000000}" name="Product Profitability (%)"/>
    <tableColumn id="21" xr3:uid="{00000000-0010-0000-0100-000015000000}" name="Profit Margin (%)"/>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U42" headerRowDxfId="2">
  <autoFilter ref="A1:U42" xr:uid="{00000000-0009-0000-0100-000003000000}"/>
  <tableColumns count="21">
    <tableColumn id="1" xr3:uid="{00000000-0010-0000-0200-000001000000}" name="Product"/>
    <tableColumn id="2" xr3:uid="{00000000-0010-0000-0200-000002000000}" name="Container Volume (L)" dataDxfId="1">
      <calculatedColumnFormula>SUBSTITUTE(TRIM(CLEAN('Raw Data'!B2))," ","")</calculatedColumnFormula>
    </tableColumn>
    <tableColumn id="3" xr3:uid="{00000000-0010-0000-0200-000003000000}" name="Glass Color">
      <calculatedColumnFormula>SUBSTITUTE(TRIM(CLEAN('Raw Data'!C2))," ","")</calculatedColumnFormula>
    </tableColumn>
    <tableColumn id="4" xr3:uid="{00000000-0010-0000-0200-000004000000}" name="Sales Country">
      <calculatedColumnFormula>SUBSTITUTE(TRIM(CLEAN('Raw Data'!D2))," ","")</calculatedColumnFormula>
    </tableColumn>
    <tableColumn id="5" xr3:uid="{00000000-0010-0000-0200-000005000000}" name="Unit of Measure"/>
    <tableColumn id="6" xr3:uid="{00000000-0010-0000-0200-000006000000}" name="Quantity Sold"/>
    <tableColumn id="7" xr3:uid="{00000000-0010-0000-0200-000007000000}" name="Unit Weight (kg)"/>
    <tableColumn id="8" xr3:uid="{00000000-0010-0000-0200-000008000000}" name="Total Weight (tons)">
      <calculatedColumnFormula>IF(ISBLANK('Raw Data'!H2),Table3[[#This Row],[Quantity Sold]]*Table3[[#This Row],[Unit Weight (kg)]]/1000,Table2[[#This Row],[Total Weight (tons)]])</calculatedColumnFormula>
    </tableColumn>
    <tableColumn id="9" xr3:uid="{00000000-0010-0000-0200-000009000000}" name="Average Selling Price per Unit (USD)">
      <calculatedColumnFormula>IF(ISBLANK('Raw Data'!I2),Table3[[#This Row],[Net Revenue, excl. VAT (USD)]]/Table3[[#This Row],[Quantity Sold]],Table2[[#This Row],[Average Selling Price per Unit (USD)]])</calculatedColumnFormula>
    </tableColumn>
    <tableColumn id="10" xr3:uid="{00000000-0010-0000-0200-00000A000000}" name="Average Selling Price per Ton (USD)"/>
    <tableColumn id="11" xr3:uid="{00000000-0010-0000-0200-00000B000000}" name="Net Revenue, excl. VAT (USD)"/>
    <tableColumn id="12" xr3:uid="{00000000-0010-0000-0200-00000C000000}" name="Gross Revenue, incl. VAT (USD)"/>
    <tableColumn id="13" xr3:uid="{00000000-0010-0000-0200-00000D000000}" name="Manufacturing Cost (USD)"/>
    <tableColumn id="14" xr3:uid="{00000000-0010-0000-0200-00000E000000}" name="Administrative Expenses (USD)"/>
    <tableColumn id="15" xr3:uid="{00000000-0010-0000-0200-00000F000000}" name="Selling Expenses (USD)"/>
    <tableColumn id="16" xr3:uid="{00000000-0010-0000-0200-000010000000}" name="Total Cost (USD)"/>
    <tableColumn id="17" xr3:uid="{00000000-0010-0000-0200-000011000000}" name="Unit Cost (USD)"/>
    <tableColumn id="18" xr3:uid="{00000000-0010-0000-0200-000012000000}" name="Cost per Ton (USD)"/>
    <tableColumn id="19" xr3:uid="{00000000-0010-0000-0200-000013000000}" name="Operating Profit (USD)" dataDxfId="0"/>
    <tableColumn id="20" xr3:uid="{00000000-0010-0000-0200-000014000000}" name="Product Profitability (%)">
      <calculatedColumnFormula>IF(ISBLANK('Raw Data'!T2),Table3[[#This Row],[Operating Profit (USD)]]/Table3[[#This Row],[Total Cost (USD)]],Table2[[#This Row],[Product Profitability (%)]])</calculatedColumnFormula>
    </tableColumn>
    <tableColumn id="21" xr3:uid="{00000000-0010-0000-0200-000015000000}" name="Profit Margin (%)">
      <calculatedColumnFormula>IF(ISBLANK('Raw Data'!U2),Table3[[#This Row],[Operating Profit (USD)]]/Table3[[#This Row],[Net Revenue, excl. VAT (USD)]],Table2[[#This Row],[Profit Margin (%)]])</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2"/>
  <sheetViews>
    <sheetView topLeftCell="D1" workbookViewId="0">
      <selection activeCell="P7" sqref="P7"/>
    </sheetView>
  </sheetViews>
  <sheetFormatPr defaultRowHeight="14.4" x14ac:dyDescent="0.3"/>
  <cols>
    <col min="1" max="1" width="24.77734375" customWidth="1"/>
    <col min="2" max="2" width="9.33203125" customWidth="1"/>
    <col min="3" max="3" width="9.6640625" customWidth="1"/>
    <col min="4" max="4" width="14.21875" customWidth="1"/>
    <col min="5" max="5" width="6.5546875" customWidth="1"/>
    <col min="6" max="6" width="12.21875" customWidth="1"/>
    <col min="7" max="7" width="9" customWidth="1"/>
    <col min="8" max="8" width="13.109375" customWidth="1"/>
    <col min="9" max="9" width="15.6640625" customWidth="1"/>
    <col min="10" max="10" width="15.109375" customWidth="1"/>
    <col min="11" max="11" width="20.5546875" customWidth="1"/>
    <col min="12" max="12" width="17.33203125" customWidth="1"/>
    <col min="13" max="13" width="17.21875" customWidth="1"/>
    <col min="14" max="14" width="15" customWidth="1"/>
    <col min="15" max="15" width="13.5546875" customWidth="1"/>
    <col min="16" max="16" width="14.88671875" customWidth="1"/>
    <col min="17" max="17" width="12.6640625" customWidth="1"/>
    <col min="18" max="18" width="14.109375" customWidth="1"/>
    <col min="19" max="19" width="20.44140625" customWidth="1"/>
    <col min="20" max="20" width="16.6640625" customWidth="1"/>
    <col min="21" max="21" width="15.44140625" customWidth="1"/>
  </cols>
  <sheetData>
    <row r="1" spans="1:21" s="1" customFormat="1" ht="43.2" customHeight="1" x14ac:dyDescent="0.3">
      <c r="A1" s="1" t="s">
        <v>2</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row>
    <row r="2" spans="1:21" x14ac:dyDescent="0.3">
      <c r="A2" t="s">
        <v>23</v>
      </c>
      <c r="B2">
        <v>0.7</v>
      </c>
      <c r="C2" t="s">
        <v>24</v>
      </c>
      <c r="D2" t="s">
        <v>25</v>
      </c>
      <c r="E2" t="s">
        <v>26</v>
      </c>
      <c r="F2">
        <v>34560</v>
      </c>
      <c r="G2" s="2">
        <v>0.45</v>
      </c>
      <c r="H2" s="4">
        <f t="shared" ref="H2:H42" si="0">F2*G2/1000</f>
        <v>15.552</v>
      </c>
      <c r="I2" s="5">
        <f t="shared" ref="I2:I42" si="1">K2/F2</f>
        <v>0.36047193287037038</v>
      </c>
      <c r="J2" s="6">
        <f t="shared" ref="J2:J42" si="2">K2/H2</f>
        <v>801.04873971193422</v>
      </c>
      <c r="K2" s="3">
        <v>12457.91</v>
      </c>
      <c r="L2" s="3">
        <v>12457.91</v>
      </c>
      <c r="M2" s="3">
        <v>9599.58</v>
      </c>
      <c r="N2" s="3">
        <v>1343.77</v>
      </c>
      <c r="O2" s="3">
        <v>274.13</v>
      </c>
      <c r="P2">
        <f t="shared" ref="P2:P42" si="3">SUM(M2:O2)</f>
        <v>11217.48</v>
      </c>
      <c r="Q2" s="5">
        <f t="shared" ref="Q2:Q42" si="4">P2/F2</f>
        <v>0.32457986111111109</v>
      </c>
      <c r="R2" s="6">
        <f t="shared" ref="R2:R42" si="5">P2/H2</f>
        <v>721.28858024691363</v>
      </c>
      <c r="S2" s="3">
        <f t="shared" ref="S2:S42" si="6">K2-P2</f>
        <v>1240.4300000000003</v>
      </c>
      <c r="T2" s="7">
        <f t="shared" ref="T2:T42" si="7">S2/P2</f>
        <v>0.11058009463801143</v>
      </c>
      <c r="U2" s="7">
        <f t="shared" ref="U2:U42" si="8">S2/K2</f>
        <v>9.9569670996178361E-2</v>
      </c>
    </row>
    <row r="3" spans="1:21" x14ac:dyDescent="0.3">
      <c r="A3" t="s">
        <v>27</v>
      </c>
      <c r="B3">
        <v>0.75</v>
      </c>
      <c r="C3" t="s">
        <v>28</v>
      </c>
      <c r="D3" t="s">
        <v>29</v>
      </c>
      <c r="E3" t="s">
        <v>26</v>
      </c>
      <c r="F3">
        <v>163800</v>
      </c>
      <c r="G3" s="2">
        <v>0.7</v>
      </c>
      <c r="H3" s="4">
        <f t="shared" si="0"/>
        <v>114.66</v>
      </c>
      <c r="I3" s="5">
        <f t="shared" si="1"/>
        <v>0.62781404151404152</v>
      </c>
      <c r="J3" s="6">
        <f t="shared" si="2"/>
        <v>896.87720216291655</v>
      </c>
      <c r="K3" s="3">
        <v>102835.94</v>
      </c>
      <c r="L3" s="3">
        <v>102835.94</v>
      </c>
      <c r="M3" s="3">
        <v>81448.820000000007</v>
      </c>
      <c r="N3" s="3">
        <v>9907.24</v>
      </c>
      <c r="O3" s="3">
        <v>2021.11</v>
      </c>
      <c r="P3">
        <f t="shared" si="3"/>
        <v>93377.170000000013</v>
      </c>
      <c r="Q3" s="5">
        <f t="shared" si="4"/>
        <v>0.570068192918193</v>
      </c>
      <c r="R3" s="6">
        <f t="shared" si="5"/>
        <v>814.38313274027576</v>
      </c>
      <c r="S3" s="3">
        <f t="shared" si="6"/>
        <v>9458.7699999999895</v>
      </c>
      <c r="T3" s="7">
        <f t="shared" si="7"/>
        <v>0.10129638754312204</v>
      </c>
      <c r="U3" s="7">
        <f t="shared" si="8"/>
        <v>9.197922438400416E-2</v>
      </c>
    </row>
    <row r="4" spans="1:21" x14ac:dyDescent="0.3">
      <c r="A4" t="s">
        <v>30</v>
      </c>
      <c r="B4">
        <v>0.5</v>
      </c>
      <c r="C4" t="s">
        <v>24</v>
      </c>
      <c r="D4" t="s">
        <v>31</v>
      </c>
      <c r="E4" t="s">
        <v>26</v>
      </c>
      <c r="F4">
        <v>152364</v>
      </c>
      <c r="G4" s="2">
        <v>0.33</v>
      </c>
      <c r="H4" s="4">
        <f t="shared" si="0"/>
        <v>50.280120000000004</v>
      </c>
      <c r="I4" s="5">
        <f t="shared" si="1"/>
        <v>0.255</v>
      </c>
      <c r="J4" s="6">
        <f t="shared" si="2"/>
        <v>772.72727272727263</v>
      </c>
      <c r="K4" s="3">
        <v>38852.82</v>
      </c>
      <c r="L4" s="3">
        <f t="shared" ref="L4:L14" si="9">K4</f>
        <v>38852.82</v>
      </c>
      <c r="M4" s="3">
        <f t="shared" ref="M4:M14" si="10">M15/F15*F4</f>
        <v>34734.917361778847</v>
      </c>
      <c r="N4" s="3">
        <f t="shared" ref="N4:N14" si="11">M4*13.5%</f>
        <v>4689.2138438401444</v>
      </c>
      <c r="O4" s="3">
        <f t="shared" ref="O4:O14" si="12">M4*3%</f>
        <v>1042.0475208533653</v>
      </c>
      <c r="P4" s="3">
        <f t="shared" si="3"/>
        <v>40466.178726472361</v>
      </c>
      <c r="Q4" s="5">
        <f t="shared" si="4"/>
        <v>0.26558884465144234</v>
      </c>
      <c r="R4" s="6">
        <f t="shared" si="5"/>
        <v>804.81468076194642</v>
      </c>
      <c r="S4" s="3">
        <f t="shared" si="6"/>
        <v>-1613.358726472361</v>
      </c>
      <c r="T4" s="7">
        <f t="shared" si="7"/>
        <v>-3.986931252831457E-2</v>
      </c>
      <c r="U4" s="7">
        <f t="shared" si="8"/>
        <v>-4.1524880986048403E-2</v>
      </c>
    </row>
    <row r="5" spans="1:21" x14ac:dyDescent="0.3">
      <c r="A5" t="s">
        <v>23</v>
      </c>
      <c r="B5">
        <v>0.7</v>
      </c>
      <c r="C5" t="s">
        <v>24</v>
      </c>
      <c r="D5" t="s">
        <v>31</v>
      </c>
      <c r="E5" t="s">
        <v>26</v>
      </c>
      <c r="F5">
        <v>256980</v>
      </c>
      <c r="G5" s="2">
        <v>0.45</v>
      </c>
      <c r="H5" s="4">
        <f t="shared" si="0"/>
        <v>115.64100000000001</v>
      </c>
      <c r="I5" s="5">
        <f t="shared" si="1"/>
        <v>0.36</v>
      </c>
      <c r="J5" s="6">
        <f t="shared" si="2"/>
        <v>800</v>
      </c>
      <c r="K5" s="3">
        <v>92512.8</v>
      </c>
      <c r="L5" s="3">
        <f t="shared" si="9"/>
        <v>92512.8</v>
      </c>
      <c r="M5" s="3">
        <f t="shared" si="10"/>
        <v>71380.175005995217</v>
      </c>
      <c r="N5" s="3">
        <f t="shared" si="11"/>
        <v>9636.3236258093548</v>
      </c>
      <c r="O5" s="3">
        <f t="shared" si="12"/>
        <v>2141.4052501798565</v>
      </c>
      <c r="P5" s="3">
        <f t="shared" si="3"/>
        <v>83157.903881984428</v>
      </c>
      <c r="Q5" s="5">
        <f t="shared" si="4"/>
        <v>0.32359679306554762</v>
      </c>
      <c r="R5" s="6">
        <f t="shared" si="5"/>
        <v>719.10398459010582</v>
      </c>
      <c r="S5" s="3">
        <f t="shared" si="6"/>
        <v>9354.8961180155748</v>
      </c>
      <c r="T5" s="7">
        <f t="shared" si="7"/>
        <v>0.11249557385779954</v>
      </c>
      <c r="U5" s="7">
        <f t="shared" si="8"/>
        <v>0.10112001926236774</v>
      </c>
    </row>
    <row r="6" spans="1:21" x14ac:dyDescent="0.3">
      <c r="A6" t="s">
        <v>32</v>
      </c>
      <c r="B6">
        <v>0.375</v>
      </c>
      <c r="C6" t="s">
        <v>24</v>
      </c>
      <c r="D6" t="s">
        <v>31</v>
      </c>
      <c r="E6" t="s">
        <v>26</v>
      </c>
      <c r="F6">
        <v>25630</v>
      </c>
      <c r="G6" s="2">
        <v>0.45700000000000002</v>
      </c>
      <c r="H6" s="4">
        <f t="shared" si="0"/>
        <v>11.712909999999999</v>
      </c>
      <c r="I6" s="5">
        <f t="shared" si="1"/>
        <v>0.41</v>
      </c>
      <c r="J6" s="6">
        <f t="shared" si="2"/>
        <v>897.15536105032822</v>
      </c>
      <c r="K6" s="3">
        <v>10508.3</v>
      </c>
      <c r="L6" s="3">
        <f t="shared" si="9"/>
        <v>10508.3</v>
      </c>
      <c r="M6" s="3">
        <f t="shared" si="10"/>
        <v>7190.4529632505164</v>
      </c>
      <c r="N6" s="3">
        <f t="shared" si="11"/>
        <v>970.71115003881982</v>
      </c>
      <c r="O6" s="3">
        <f t="shared" si="12"/>
        <v>215.71358889751548</v>
      </c>
      <c r="P6" s="3">
        <f t="shared" si="3"/>
        <v>8376.8777021868518</v>
      </c>
      <c r="Q6" s="5">
        <f t="shared" si="4"/>
        <v>0.32683877105684167</v>
      </c>
      <c r="R6" s="6">
        <f t="shared" si="5"/>
        <v>715.18330647011305</v>
      </c>
      <c r="S6" s="3">
        <f t="shared" si="6"/>
        <v>2131.4222978131475</v>
      </c>
      <c r="T6" s="7">
        <f t="shared" si="7"/>
        <v>0.25444113828434217</v>
      </c>
      <c r="U6" s="7">
        <f t="shared" si="8"/>
        <v>0.20283226571502028</v>
      </c>
    </row>
    <row r="7" spans="1:21" x14ac:dyDescent="0.3">
      <c r="A7" t="s">
        <v>33</v>
      </c>
      <c r="B7">
        <v>0.56799999999999995</v>
      </c>
      <c r="C7" t="s">
        <v>24</v>
      </c>
      <c r="D7" t="s">
        <v>31</v>
      </c>
      <c r="E7" t="s">
        <v>26</v>
      </c>
      <c r="F7">
        <v>24960</v>
      </c>
      <c r="G7" s="2">
        <v>0.37</v>
      </c>
      <c r="H7" s="4">
        <f t="shared" si="0"/>
        <v>9.2352000000000007</v>
      </c>
      <c r="I7" s="5">
        <f t="shared" si="1"/>
        <v>0.27400641025641026</v>
      </c>
      <c r="J7" s="6">
        <f t="shared" si="2"/>
        <v>740.55786555786551</v>
      </c>
      <c r="K7" s="3">
        <v>6839.2</v>
      </c>
      <c r="L7" s="3">
        <f t="shared" si="9"/>
        <v>6839.2</v>
      </c>
      <c r="M7" s="3">
        <f t="shared" si="10"/>
        <v>6121.5943049831394</v>
      </c>
      <c r="N7" s="3">
        <f t="shared" si="11"/>
        <v>826.41523117272391</v>
      </c>
      <c r="O7" s="3">
        <f t="shared" si="12"/>
        <v>183.64782914949419</v>
      </c>
      <c r="P7" s="3">
        <f t="shared" si="3"/>
        <v>7131.6573653053574</v>
      </c>
      <c r="Q7" s="5">
        <f t="shared" si="4"/>
        <v>0.28572345213563133</v>
      </c>
      <c r="R7" s="6">
        <f t="shared" si="5"/>
        <v>772.22554631251694</v>
      </c>
      <c r="S7" s="3">
        <f t="shared" si="6"/>
        <v>-292.4573653053576</v>
      </c>
      <c r="T7" s="7">
        <f t="shared" si="7"/>
        <v>-4.1008330928533808E-2</v>
      </c>
      <c r="U7" s="7">
        <f t="shared" si="8"/>
        <v>-4.2761926147116269E-2</v>
      </c>
    </row>
    <row r="8" spans="1:21" x14ac:dyDescent="0.3">
      <c r="A8" t="s">
        <v>34</v>
      </c>
      <c r="B8">
        <v>0.5</v>
      </c>
      <c r="C8" t="s">
        <v>28</v>
      </c>
      <c r="D8" t="s">
        <v>31</v>
      </c>
      <c r="E8" t="s">
        <v>26</v>
      </c>
      <c r="F8">
        <v>28900</v>
      </c>
      <c r="G8" s="2">
        <v>0.35</v>
      </c>
      <c r="H8" s="4">
        <f t="shared" si="0"/>
        <v>10.115</v>
      </c>
      <c r="I8" s="5">
        <f t="shared" si="1"/>
        <v>0.3</v>
      </c>
      <c r="J8" s="6">
        <f t="shared" si="2"/>
        <v>857.14285714285711</v>
      </c>
      <c r="K8" s="3">
        <v>8670</v>
      </c>
      <c r="L8" s="3">
        <f t="shared" si="9"/>
        <v>8670</v>
      </c>
      <c r="M8" s="3">
        <f t="shared" si="10"/>
        <v>7114.4881417410706</v>
      </c>
      <c r="N8" s="3">
        <f t="shared" si="11"/>
        <v>960.45589913504455</v>
      </c>
      <c r="O8" s="3">
        <f t="shared" si="12"/>
        <v>213.43464425223212</v>
      </c>
      <c r="P8" s="3">
        <f t="shared" si="3"/>
        <v>8288.3786851283476</v>
      </c>
      <c r="Q8" s="5">
        <f t="shared" si="4"/>
        <v>0.28679511021205356</v>
      </c>
      <c r="R8" s="6">
        <f t="shared" si="5"/>
        <v>819.41460060586724</v>
      </c>
      <c r="S8" s="3">
        <f t="shared" si="6"/>
        <v>381.62131487165243</v>
      </c>
      <c r="T8" s="7">
        <f t="shared" si="7"/>
        <v>4.60429390800383E-2</v>
      </c>
      <c r="U8" s="7">
        <f t="shared" si="8"/>
        <v>4.4016299293154836E-2</v>
      </c>
    </row>
    <row r="9" spans="1:21" x14ac:dyDescent="0.3">
      <c r="A9" t="s">
        <v>35</v>
      </c>
      <c r="B9">
        <v>0.5</v>
      </c>
      <c r="C9" t="s">
        <v>24</v>
      </c>
      <c r="D9" t="s">
        <v>36</v>
      </c>
      <c r="E9" t="s">
        <v>26</v>
      </c>
      <c r="F9">
        <v>156000</v>
      </c>
      <c r="G9" s="2">
        <v>0.53</v>
      </c>
      <c r="H9" s="4">
        <f t="shared" si="0"/>
        <v>82.68</v>
      </c>
      <c r="I9" s="5">
        <f t="shared" si="1"/>
        <v>0.37</v>
      </c>
      <c r="J9" s="6">
        <f t="shared" si="2"/>
        <v>698.11320754716974</v>
      </c>
      <c r="K9" s="3">
        <v>57720</v>
      </c>
      <c r="L9" s="3">
        <f t="shared" si="9"/>
        <v>57720</v>
      </c>
      <c r="M9" s="3">
        <f t="shared" si="10"/>
        <v>51229.844444444447</v>
      </c>
      <c r="N9" s="3">
        <f t="shared" si="11"/>
        <v>6916.0290000000005</v>
      </c>
      <c r="O9" s="3">
        <f t="shared" si="12"/>
        <v>1536.8953333333334</v>
      </c>
      <c r="P9" s="3">
        <f t="shared" si="3"/>
        <v>59682.768777777783</v>
      </c>
      <c r="Q9" s="5">
        <f t="shared" si="4"/>
        <v>0.38258185113960119</v>
      </c>
      <c r="R9" s="6">
        <f t="shared" si="5"/>
        <v>721.85254932000214</v>
      </c>
      <c r="S9" s="3">
        <f t="shared" si="6"/>
        <v>-1962.7687777777828</v>
      </c>
      <c r="T9" s="7">
        <f t="shared" si="7"/>
        <v>-3.2886691049571377E-2</v>
      </c>
      <c r="U9" s="7">
        <f t="shared" si="8"/>
        <v>-3.400500308000317E-2</v>
      </c>
    </row>
    <row r="10" spans="1:21" x14ac:dyDescent="0.3">
      <c r="A10" t="s">
        <v>37</v>
      </c>
      <c r="B10">
        <v>0.5</v>
      </c>
      <c r="C10" t="s">
        <v>24</v>
      </c>
      <c r="D10" t="s">
        <v>36</v>
      </c>
      <c r="E10" t="s">
        <v>26</v>
      </c>
      <c r="F10">
        <v>483500</v>
      </c>
      <c r="G10" s="2">
        <v>0.34499999999999997</v>
      </c>
      <c r="H10" s="4">
        <f t="shared" si="0"/>
        <v>166.8075</v>
      </c>
      <c r="I10" s="5">
        <f t="shared" si="1"/>
        <v>0.26</v>
      </c>
      <c r="J10" s="6">
        <f t="shared" si="2"/>
        <v>753.62318840579712</v>
      </c>
      <c r="K10" s="3">
        <v>125710</v>
      </c>
      <c r="L10" s="3">
        <f t="shared" si="9"/>
        <v>125710</v>
      </c>
      <c r="M10" s="3">
        <f t="shared" si="10"/>
        <v>100424.8961559274</v>
      </c>
      <c r="N10" s="3">
        <f t="shared" si="11"/>
        <v>13557.3609810502</v>
      </c>
      <c r="O10" s="3">
        <f t="shared" si="12"/>
        <v>3012.746884677822</v>
      </c>
      <c r="P10" s="3">
        <f t="shared" si="3"/>
        <v>116995.00402165542</v>
      </c>
      <c r="Q10" s="5">
        <f t="shared" si="4"/>
        <v>0.24197518928987677</v>
      </c>
      <c r="R10" s="6">
        <f t="shared" si="5"/>
        <v>701.37736026051232</v>
      </c>
      <c r="S10" s="3">
        <f t="shared" si="6"/>
        <v>8714.9959783445811</v>
      </c>
      <c r="T10" s="7">
        <f t="shared" si="7"/>
        <v>7.449032590085182E-2</v>
      </c>
      <c r="U10" s="7">
        <f t="shared" si="8"/>
        <v>6.9326195038935501E-2</v>
      </c>
    </row>
    <row r="11" spans="1:21" x14ac:dyDescent="0.3">
      <c r="A11" t="s">
        <v>38</v>
      </c>
      <c r="B11">
        <v>0.5</v>
      </c>
      <c r="C11" t="s">
        <v>28</v>
      </c>
      <c r="D11" t="s">
        <v>36</v>
      </c>
      <c r="E11" t="s">
        <v>26</v>
      </c>
      <c r="F11">
        <v>259320</v>
      </c>
      <c r="G11" s="2">
        <v>0.51</v>
      </c>
      <c r="H11" s="4">
        <f t="shared" si="0"/>
        <v>132.25320000000002</v>
      </c>
      <c r="I11" s="5">
        <f t="shared" si="1"/>
        <v>0.36</v>
      </c>
      <c r="J11" s="6">
        <f t="shared" si="2"/>
        <v>705.88235294117635</v>
      </c>
      <c r="K11" s="3">
        <v>93355.199999999997</v>
      </c>
      <c r="L11" s="3">
        <f t="shared" si="9"/>
        <v>93355.199999999997</v>
      </c>
      <c r="M11" s="3">
        <f t="shared" si="10"/>
        <v>87828.415099323756</v>
      </c>
      <c r="N11" s="3">
        <f t="shared" si="11"/>
        <v>11856.836038408708</v>
      </c>
      <c r="O11" s="3">
        <f t="shared" si="12"/>
        <v>2634.8524529797128</v>
      </c>
      <c r="P11" s="3">
        <f t="shared" si="3"/>
        <v>102320.10359071218</v>
      </c>
      <c r="Q11" s="5">
        <f t="shared" si="4"/>
        <v>0.39457081440194425</v>
      </c>
      <c r="R11" s="6">
        <f t="shared" si="5"/>
        <v>773.66826353322392</v>
      </c>
      <c r="S11" s="3">
        <f t="shared" si="6"/>
        <v>-8964.903590712187</v>
      </c>
      <c r="T11" s="7">
        <f t="shared" si="7"/>
        <v>-8.7616248186890525E-2</v>
      </c>
      <c r="U11" s="7">
        <f t="shared" si="8"/>
        <v>-9.6030040005400746E-2</v>
      </c>
    </row>
    <row r="12" spans="1:21" x14ac:dyDescent="0.3">
      <c r="A12" t="s">
        <v>39</v>
      </c>
      <c r="B12">
        <v>0.5</v>
      </c>
      <c r="C12" t="s">
        <v>28</v>
      </c>
      <c r="D12" t="s">
        <v>36</v>
      </c>
      <c r="E12" t="s">
        <v>26</v>
      </c>
      <c r="F12">
        <v>763980</v>
      </c>
      <c r="G12" s="2">
        <v>0.41499999999999998</v>
      </c>
      <c r="H12" s="4">
        <f t="shared" si="0"/>
        <v>317.05170000000004</v>
      </c>
      <c r="I12" s="5">
        <f t="shared" si="1"/>
        <v>0.35</v>
      </c>
      <c r="J12" s="6">
        <f t="shared" si="2"/>
        <v>843.37349397590356</v>
      </c>
      <c r="K12" s="3">
        <v>267393</v>
      </c>
      <c r="L12" s="3">
        <f t="shared" si="9"/>
        <v>267393</v>
      </c>
      <c r="M12" s="3">
        <f t="shared" si="10"/>
        <v>217151.42801966291</v>
      </c>
      <c r="N12" s="3">
        <f t="shared" si="11"/>
        <v>29315.442782654496</v>
      </c>
      <c r="O12" s="3">
        <f t="shared" si="12"/>
        <v>6514.5428405898874</v>
      </c>
      <c r="P12" s="3">
        <f t="shared" si="3"/>
        <v>252981.41364290728</v>
      </c>
      <c r="Q12" s="5">
        <f t="shared" si="4"/>
        <v>0.33113617325441408</v>
      </c>
      <c r="R12" s="6">
        <f t="shared" si="5"/>
        <v>797.91848976967242</v>
      </c>
      <c r="S12" s="3">
        <f t="shared" si="6"/>
        <v>14411.586357092718</v>
      </c>
      <c r="T12" s="7">
        <f t="shared" si="7"/>
        <v>5.6966976939401608E-2</v>
      </c>
      <c r="U12" s="7">
        <f t="shared" si="8"/>
        <v>5.3896647844531152E-2</v>
      </c>
    </row>
    <row r="13" spans="1:21" x14ac:dyDescent="0.3">
      <c r="A13" t="s">
        <v>40</v>
      </c>
      <c r="B13">
        <v>0.5</v>
      </c>
      <c r="C13" t="s">
        <v>28</v>
      </c>
      <c r="D13" t="s">
        <v>41</v>
      </c>
      <c r="E13" t="s">
        <v>26</v>
      </c>
      <c r="F13">
        <v>85620</v>
      </c>
      <c r="G13" s="2">
        <v>0.44500000000000001</v>
      </c>
      <c r="H13" s="4">
        <f t="shared" si="0"/>
        <v>38.100900000000003</v>
      </c>
      <c r="I13" s="5">
        <f t="shared" si="1"/>
        <v>0.375</v>
      </c>
      <c r="J13" s="6">
        <f t="shared" si="2"/>
        <v>842.69662921348311</v>
      </c>
      <c r="K13" s="3">
        <v>32107.5</v>
      </c>
      <c r="L13" s="3">
        <f t="shared" si="9"/>
        <v>32107.5</v>
      </c>
      <c r="M13" s="3">
        <f t="shared" si="10"/>
        <v>28639.951966501238</v>
      </c>
      <c r="N13" s="3">
        <f t="shared" si="11"/>
        <v>3866.3935154776673</v>
      </c>
      <c r="O13" s="3">
        <f t="shared" si="12"/>
        <v>859.19855899503705</v>
      </c>
      <c r="P13" s="3">
        <f t="shared" si="3"/>
        <v>33365.544040973939</v>
      </c>
      <c r="Q13" s="5">
        <f t="shared" si="4"/>
        <v>0.38969334315550036</v>
      </c>
      <c r="R13" s="6">
        <f t="shared" si="5"/>
        <v>875.71537787752879</v>
      </c>
      <c r="S13" s="3">
        <f t="shared" si="6"/>
        <v>-1258.0440409739385</v>
      </c>
      <c r="T13" s="7">
        <f t="shared" si="7"/>
        <v>-3.7704886197240509E-2</v>
      </c>
      <c r="U13" s="7">
        <f t="shared" si="8"/>
        <v>-3.9182248414667553E-2</v>
      </c>
    </row>
    <row r="14" spans="1:21" x14ac:dyDescent="0.3">
      <c r="A14" t="s">
        <v>42</v>
      </c>
      <c r="B14">
        <v>0.5</v>
      </c>
      <c r="C14" t="s">
        <v>24</v>
      </c>
      <c r="D14" t="s">
        <v>41</v>
      </c>
      <c r="E14" t="s">
        <v>26</v>
      </c>
      <c r="F14">
        <v>256300</v>
      </c>
      <c r="G14" s="2">
        <v>0.33</v>
      </c>
      <c r="H14" s="4">
        <f t="shared" si="0"/>
        <v>84.578999999999994</v>
      </c>
      <c r="I14" s="5">
        <f t="shared" si="1"/>
        <v>0.255</v>
      </c>
      <c r="J14" s="6">
        <f t="shared" si="2"/>
        <v>772.72727272727275</v>
      </c>
      <c r="K14" s="3">
        <v>65356.5</v>
      </c>
      <c r="L14" s="3">
        <f t="shared" si="9"/>
        <v>65356.5</v>
      </c>
      <c r="M14" s="3">
        <f t="shared" si="10"/>
        <v>52091.432146897219</v>
      </c>
      <c r="N14" s="3">
        <f t="shared" si="11"/>
        <v>7032.3433398311254</v>
      </c>
      <c r="O14" s="3">
        <f t="shared" si="12"/>
        <v>1562.7429644069166</v>
      </c>
      <c r="P14" s="3">
        <f t="shared" si="3"/>
        <v>60686.518451135264</v>
      </c>
      <c r="Q14" s="5">
        <f t="shared" si="4"/>
        <v>0.23677923703135101</v>
      </c>
      <c r="R14" s="6">
        <f t="shared" si="5"/>
        <v>717.51283948894252</v>
      </c>
      <c r="S14" s="3">
        <f t="shared" si="6"/>
        <v>4669.9815488647364</v>
      </c>
      <c r="T14" s="7">
        <f t="shared" si="7"/>
        <v>7.695253687398465E-2</v>
      </c>
      <c r="U14" s="7">
        <f t="shared" si="8"/>
        <v>7.1453972426074472E-2</v>
      </c>
    </row>
    <row r="15" spans="1:21" x14ac:dyDescent="0.3">
      <c r="A15" t="s">
        <v>30</v>
      </c>
      <c r="B15">
        <v>0.5</v>
      </c>
      <c r="C15" t="s">
        <v>24</v>
      </c>
      <c r="D15" t="s">
        <v>43</v>
      </c>
      <c r="E15" t="s">
        <v>26</v>
      </c>
      <c r="F15">
        <v>46592</v>
      </c>
      <c r="G15" s="2">
        <v>0.33</v>
      </c>
      <c r="H15" s="4">
        <f t="shared" si="0"/>
        <v>15.375360000000001</v>
      </c>
      <c r="I15" s="5">
        <f t="shared" si="1"/>
        <v>0.25</v>
      </c>
      <c r="J15" s="6">
        <f t="shared" si="2"/>
        <v>757.57575757575751</v>
      </c>
      <c r="K15" s="3">
        <v>11648</v>
      </c>
      <c r="L15" s="3">
        <v>13977.6</v>
      </c>
      <c r="M15" s="3">
        <v>10621.73</v>
      </c>
      <c r="N15" s="3">
        <v>1328.51</v>
      </c>
      <c r="O15" s="3">
        <v>271.02</v>
      </c>
      <c r="P15">
        <f t="shared" si="3"/>
        <v>12221.26</v>
      </c>
      <c r="Q15" s="5">
        <f t="shared" si="4"/>
        <v>0.26230382898351651</v>
      </c>
      <c r="R15" s="6">
        <f t="shared" si="5"/>
        <v>794.86008782883778</v>
      </c>
      <c r="S15" s="3">
        <f t="shared" si="6"/>
        <v>-573.26000000000022</v>
      </c>
      <c r="T15" s="7">
        <f t="shared" si="7"/>
        <v>-4.6906783752248146E-2</v>
      </c>
      <c r="U15" s="7">
        <f t="shared" si="8"/>
        <v>-4.9215315934065952E-2</v>
      </c>
    </row>
    <row r="16" spans="1:21" x14ac:dyDescent="0.3">
      <c r="A16" t="s">
        <v>23</v>
      </c>
      <c r="B16">
        <v>0.7</v>
      </c>
      <c r="C16" t="s">
        <v>24</v>
      </c>
      <c r="D16" t="s">
        <v>43</v>
      </c>
      <c r="E16" t="s">
        <v>26</v>
      </c>
      <c r="F16">
        <v>200160</v>
      </c>
      <c r="G16" s="2">
        <v>0.45</v>
      </c>
      <c r="H16" s="4">
        <f t="shared" si="0"/>
        <v>90.072000000000003</v>
      </c>
      <c r="I16" s="5">
        <f t="shared" si="1"/>
        <v>0.36000000000000004</v>
      </c>
      <c r="J16" s="6">
        <f t="shared" si="2"/>
        <v>800</v>
      </c>
      <c r="K16" s="3">
        <v>72057.600000000006</v>
      </c>
      <c r="L16" s="3">
        <v>86469.119999999995</v>
      </c>
      <c r="M16" s="3">
        <v>55597.54</v>
      </c>
      <c r="N16" s="3">
        <v>7782.67</v>
      </c>
      <c r="O16" s="3">
        <v>1587.66</v>
      </c>
      <c r="P16">
        <f t="shared" si="3"/>
        <v>64967.87</v>
      </c>
      <c r="Q16" s="5">
        <f t="shared" si="4"/>
        <v>0.3245796862509992</v>
      </c>
      <c r="R16" s="6">
        <f t="shared" si="5"/>
        <v>721.28819166888707</v>
      </c>
      <c r="S16" s="3">
        <f t="shared" si="6"/>
        <v>7089.7300000000032</v>
      </c>
      <c r="T16" s="7">
        <f t="shared" si="7"/>
        <v>0.10912671140365235</v>
      </c>
      <c r="U16" s="7">
        <f t="shared" si="8"/>
        <v>9.838976041389115E-2</v>
      </c>
    </row>
    <row r="17" spans="1:21" x14ac:dyDescent="0.3">
      <c r="A17" t="s">
        <v>32</v>
      </c>
      <c r="B17">
        <v>0.375</v>
      </c>
      <c r="C17" t="s">
        <v>24</v>
      </c>
      <c r="D17" t="s">
        <v>43</v>
      </c>
      <c r="E17" t="s">
        <v>26</v>
      </c>
      <c r="F17">
        <v>85008</v>
      </c>
      <c r="G17" s="2">
        <v>0.45700000000000002</v>
      </c>
      <c r="H17" s="4">
        <f t="shared" si="0"/>
        <v>38.848656000000005</v>
      </c>
      <c r="I17" s="5">
        <f t="shared" si="1"/>
        <v>0.39999999999999997</v>
      </c>
      <c r="J17" s="6">
        <f t="shared" si="2"/>
        <v>875.27352297592984</v>
      </c>
      <c r="K17" s="3">
        <v>34003.199999999997</v>
      </c>
      <c r="L17" s="3">
        <v>40803.839999999997</v>
      </c>
      <c r="M17" s="3">
        <v>23848.85</v>
      </c>
      <c r="N17" s="3">
        <v>3356.72</v>
      </c>
      <c r="O17" s="3">
        <v>684.78</v>
      </c>
      <c r="P17">
        <f t="shared" si="3"/>
        <v>27890.35</v>
      </c>
      <c r="Q17" s="5">
        <f t="shared" si="4"/>
        <v>0.32809088556371163</v>
      </c>
      <c r="R17" s="6">
        <f t="shared" si="5"/>
        <v>717.92316315910637</v>
      </c>
      <c r="S17" s="3">
        <f t="shared" si="6"/>
        <v>6112.8499999999985</v>
      </c>
      <c r="T17" s="7">
        <f t="shared" si="7"/>
        <v>0.21917437393220232</v>
      </c>
      <c r="U17" s="7">
        <f t="shared" si="8"/>
        <v>0.17977278609072084</v>
      </c>
    </row>
    <row r="18" spans="1:21" x14ac:dyDescent="0.3">
      <c r="A18" t="s">
        <v>33</v>
      </c>
      <c r="B18">
        <v>0.56799999999999995</v>
      </c>
      <c r="C18" t="s">
        <v>24</v>
      </c>
      <c r="D18" t="s">
        <v>43</v>
      </c>
      <c r="E18" t="s">
        <v>26</v>
      </c>
      <c r="F18">
        <v>170816</v>
      </c>
      <c r="G18" s="2">
        <v>0.37</v>
      </c>
      <c r="H18" s="4">
        <f t="shared" si="0"/>
        <v>63.201920000000001</v>
      </c>
      <c r="I18" s="5">
        <f t="shared" si="1"/>
        <v>0.27</v>
      </c>
      <c r="J18" s="6">
        <f t="shared" si="2"/>
        <v>729.72972972972968</v>
      </c>
      <c r="K18" s="3">
        <v>46120.32</v>
      </c>
      <c r="L18" s="3">
        <v>55344.39</v>
      </c>
      <c r="M18" s="3">
        <v>41893.68</v>
      </c>
      <c r="N18" s="3">
        <v>5460.98</v>
      </c>
      <c r="O18" s="3">
        <v>1114.05</v>
      </c>
      <c r="P18">
        <f t="shared" si="3"/>
        <v>48468.710000000006</v>
      </c>
      <c r="Q18" s="5">
        <f t="shared" si="4"/>
        <v>0.28374806809666547</v>
      </c>
      <c r="R18" s="6">
        <f t="shared" si="5"/>
        <v>766.88667053152824</v>
      </c>
      <c r="S18" s="3">
        <f t="shared" si="6"/>
        <v>-2348.3900000000067</v>
      </c>
      <c r="T18" s="7">
        <f t="shared" si="7"/>
        <v>-4.8451671191579192E-2</v>
      </c>
      <c r="U18" s="7">
        <f t="shared" si="8"/>
        <v>-5.0918770728390579E-2</v>
      </c>
    </row>
    <row r="19" spans="1:21" x14ac:dyDescent="0.3">
      <c r="A19" t="s">
        <v>34</v>
      </c>
      <c r="B19">
        <v>0.5</v>
      </c>
      <c r="C19" t="s">
        <v>28</v>
      </c>
      <c r="D19" t="s">
        <v>43</v>
      </c>
      <c r="E19" t="s">
        <v>26</v>
      </c>
      <c r="F19">
        <v>107520</v>
      </c>
      <c r="G19" s="2">
        <v>0.35</v>
      </c>
      <c r="H19" s="4">
        <f t="shared" si="0"/>
        <v>37.631999999999998</v>
      </c>
      <c r="I19" s="5">
        <f t="shared" si="1"/>
        <v>0.28999999999999998</v>
      </c>
      <c r="J19" s="6">
        <f t="shared" si="2"/>
        <v>828.57142857142856</v>
      </c>
      <c r="K19" s="3">
        <v>31180.799999999999</v>
      </c>
      <c r="L19" s="3">
        <v>37416.959999999999</v>
      </c>
      <c r="M19" s="3">
        <v>26468.85</v>
      </c>
      <c r="N19" s="3">
        <v>3251.59</v>
      </c>
      <c r="O19" s="3">
        <v>663.33</v>
      </c>
      <c r="P19">
        <f t="shared" si="3"/>
        <v>30383.77</v>
      </c>
      <c r="Q19" s="5">
        <f t="shared" si="4"/>
        <v>0.28258714657738093</v>
      </c>
      <c r="R19" s="6">
        <f t="shared" si="5"/>
        <v>807.39184736394566</v>
      </c>
      <c r="S19" s="3">
        <f t="shared" si="6"/>
        <v>797.02999999999884</v>
      </c>
      <c r="T19" s="7">
        <f t="shared" si="7"/>
        <v>2.6232096938595798E-2</v>
      </c>
      <c r="U19" s="7">
        <f t="shared" si="8"/>
        <v>2.5561563526272542E-2</v>
      </c>
    </row>
    <row r="20" spans="1:21" x14ac:dyDescent="0.3">
      <c r="A20" t="s">
        <v>35</v>
      </c>
      <c r="B20">
        <v>0.5</v>
      </c>
      <c r="C20" t="s">
        <v>24</v>
      </c>
      <c r="D20" t="s">
        <v>43</v>
      </c>
      <c r="E20" t="s">
        <v>26</v>
      </c>
      <c r="F20">
        <v>140400</v>
      </c>
      <c r="G20" s="2">
        <v>0.53</v>
      </c>
      <c r="H20" s="4">
        <f t="shared" si="0"/>
        <v>74.412000000000006</v>
      </c>
      <c r="I20" s="5">
        <f t="shared" si="1"/>
        <v>0.37</v>
      </c>
      <c r="J20" s="6">
        <f t="shared" si="2"/>
        <v>698.11320754716974</v>
      </c>
      <c r="K20" s="3">
        <v>51948</v>
      </c>
      <c r="L20" s="3">
        <v>62337.599999999999</v>
      </c>
      <c r="M20" s="3">
        <v>46106.86</v>
      </c>
      <c r="N20" s="3">
        <v>6429.59</v>
      </c>
      <c r="O20" s="3">
        <v>1311.64</v>
      </c>
      <c r="P20">
        <f t="shared" si="3"/>
        <v>53848.09</v>
      </c>
      <c r="Q20" s="5">
        <f t="shared" si="4"/>
        <v>0.38353340455840451</v>
      </c>
      <c r="R20" s="6">
        <f t="shared" si="5"/>
        <v>723.64793312906511</v>
      </c>
      <c r="S20" s="3">
        <f t="shared" si="6"/>
        <v>-1900.0899999999965</v>
      </c>
      <c r="T20" s="7">
        <f t="shared" si="7"/>
        <v>-3.5286116926338457E-2</v>
      </c>
      <c r="U20" s="7">
        <f t="shared" si="8"/>
        <v>-3.657676907676901E-2</v>
      </c>
    </row>
    <row r="21" spans="1:21" x14ac:dyDescent="0.3">
      <c r="A21" t="s">
        <v>37</v>
      </c>
      <c r="B21">
        <v>0.5</v>
      </c>
      <c r="C21" t="s">
        <v>24</v>
      </c>
      <c r="D21" t="s">
        <v>43</v>
      </c>
      <c r="E21" t="s">
        <v>26</v>
      </c>
      <c r="F21">
        <v>480480</v>
      </c>
      <c r="G21" s="2">
        <v>0.34499999999999997</v>
      </c>
      <c r="H21" s="4">
        <f t="shared" si="0"/>
        <v>165.76559999999998</v>
      </c>
      <c r="I21" s="5">
        <f t="shared" si="1"/>
        <v>0.25</v>
      </c>
      <c r="J21" s="6">
        <f t="shared" si="2"/>
        <v>724.63768115942037</v>
      </c>
      <c r="K21" s="3">
        <v>120120</v>
      </c>
      <c r="L21" s="3">
        <v>144144</v>
      </c>
      <c r="M21" s="3">
        <v>99797.63</v>
      </c>
      <c r="N21" s="3">
        <v>14323</v>
      </c>
      <c r="O21" s="3">
        <v>2921.9</v>
      </c>
      <c r="P21">
        <f t="shared" si="3"/>
        <v>117042.53</v>
      </c>
      <c r="Q21" s="5">
        <f t="shared" si="4"/>
        <v>0.24359500915750915</v>
      </c>
      <c r="R21" s="6">
        <f t="shared" si="5"/>
        <v>706.07249031162087</v>
      </c>
      <c r="S21" s="3">
        <f t="shared" si="6"/>
        <v>3077.4700000000012</v>
      </c>
      <c r="T21" s="7">
        <f t="shared" si="7"/>
        <v>2.6293604555540633E-2</v>
      </c>
      <c r="U21" s="7">
        <f t="shared" si="8"/>
        <v>2.5619963369963378E-2</v>
      </c>
    </row>
    <row r="22" spans="1:21" x14ac:dyDescent="0.3">
      <c r="A22" t="s">
        <v>38</v>
      </c>
      <c r="B22">
        <v>0.5</v>
      </c>
      <c r="C22" t="s">
        <v>28</v>
      </c>
      <c r="D22" t="s">
        <v>43</v>
      </c>
      <c r="E22" t="s">
        <v>26</v>
      </c>
      <c r="F22">
        <v>264992</v>
      </c>
      <c r="G22" s="2">
        <v>0.51</v>
      </c>
      <c r="H22" s="4">
        <f t="shared" si="0"/>
        <v>135.14592000000002</v>
      </c>
      <c r="I22" s="5">
        <f t="shared" si="1"/>
        <v>0.36</v>
      </c>
      <c r="J22" s="6">
        <f t="shared" si="2"/>
        <v>705.88235294117635</v>
      </c>
      <c r="K22" s="3">
        <v>95397.119999999995</v>
      </c>
      <c r="L22" s="3">
        <v>114476.53</v>
      </c>
      <c r="M22" s="3">
        <v>89749.45</v>
      </c>
      <c r="N22" s="3">
        <v>11677.33</v>
      </c>
      <c r="O22" s="3">
        <v>2382.17</v>
      </c>
      <c r="P22">
        <f t="shared" si="3"/>
        <v>103808.95</v>
      </c>
      <c r="Q22" s="5">
        <f t="shared" si="4"/>
        <v>0.39174371301775146</v>
      </c>
      <c r="R22" s="6">
        <f t="shared" si="5"/>
        <v>768.12492748578711</v>
      </c>
      <c r="S22" s="3">
        <f t="shared" si="6"/>
        <v>-8411.8300000000017</v>
      </c>
      <c r="T22" s="7">
        <f t="shared" si="7"/>
        <v>-8.1031837813598948E-2</v>
      </c>
      <c r="U22" s="7">
        <f t="shared" si="8"/>
        <v>-8.8176980604865243E-2</v>
      </c>
    </row>
    <row r="23" spans="1:21" x14ac:dyDescent="0.3">
      <c r="A23" t="s">
        <v>39</v>
      </c>
      <c r="B23">
        <v>0.5</v>
      </c>
      <c r="C23" t="s">
        <v>28</v>
      </c>
      <c r="D23" t="s">
        <v>43</v>
      </c>
      <c r="E23" t="s">
        <v>26</v>
      </c>
      <c r="F23">
        <v>99680</v>
      </c>
      <c r="G23" s="2">
        <v>0.41499999999999998</v>
      </c>
      <c r="H23" s="4">
        <f t="shared" si="0"/>
        <v>41.367199999999997</v>
      </c>
      <c r="I23" s="5">
        <f t="shared" si="1"/>
        <v>0.35</v>
      </c>
      <c r="J23" s="6">
        <f t="shared" si="2"/>
        <v>843.37349397590367</v>
      </c>
      <c r="K23" s="3">
        <v>34888</v>
      </c>
      <c r="L23" s="3">
        <v>41865.599999999999</v>
      </c>
      <c r="M23" s="3">
        <v>28332.75</v>
      </c>
      <c r="N23" s="3">
        <v>3574.33</v>
      </c>
      <c r="O23" s="3">
        <v>729.17</v>
      </c>
      <c r="P23">
        <f t="shared" si="3"/>
        <v>32636.25</v>
      </c>
      <c r="Q23" s="5">
        <f t="shared" si="4"/>
        <v>0.32741021268057785</v>
      </c>
      <c r="R23" s="6">
        <f t="shared" si="5"/>
        <v>788.94027151946477</v>
      </c>
      <c r="S23" s="3">
        <f t="shared" si="6"/>
        <v>2251.75</v>
      </c>
      <c r="T23" s="7">
        <f t="shared" si="7"/>
        <v>6.8995365582749241E-2</v>
      </c>
      <c r="U23" s="7">
        <f t="shared" si="8"/>
        <v>6.4542249484063285E-2</v>
      </c>
    </row>
    <row r="24" spans="1:21" x14ac:dyDescent="0.3">
      <c r="A24" t="s">
        <v>40</v>
      </c>
      <c r="B24">
        <v>0.5</v>
      </c>
      <c r="C24" t="s">
        <v>28</v>
      </c>
      <c r="D24" t="s">
        <v>43</v>
      </c>
      <c r="E24" t="s">
        <v>26</v>
      </c>
      <c r="F24">
        <v>193440</v>
      </c>
      <c r="G24" s="2">
        <v>0.44500000000000001</v>
      </c>
      <c r="H24" s="4">
        <f t="shared" si="0"/>
        <v>86.080799999999996</v>
      </c>
      <c r="I24" s="5">
        <f t="shared" si="1"/>
        <v>0.37</v>
      </c>
      <c r="J24" s="6">
        <f t="shared" si="2"/>
        <v>831.4606741573034</v>
      </c>
      <c r="K24" s="3">
        <v>71572.800000000003</v>
      </c>
      <c r="L24" s="3">
        <v>85887.360000000001</v>
      </c>
      <c r="M24" s="3">
        <v>64705.82</v>
      </c>
      <c r="N24" s="3">
        <v>7437.81</v>
      </c>
      <c r="O24" s="3">
        <v>1517.33</v>
      </c>
      <c r="P24">
        <f t="shared" si="3"/>
        <v>73660.960000000006</v>
      </c>
      <c r="Q24" s="5">
        <f t="shared" si="4"/>
        <v>0.38079487179487181</v>
      </c>
      <c r="R24" s="6">
        <f t="shared" si="5"/>
        <v>855.71881302218389</v>
      </c>
      <c r="S24" s="3">
        <f t="shared" si="6"/>
        <v>-2088.1600000000035</v>
      </c>
      <c r="T24" s="7">
        <f t="shared" si="7"/>
        <v>-2.834825937647301E-2</v>
      </c>
      <c r="U24" s="7">
        <f t="shared" si="8"/>
        <v>-2.9175329175329223E-2</v>
      </c>
    </row>
    <row r="25" spans="1:21" x14ac:dyDescent="0.3">
      <c r="A25" t="s">
        <v>42</v>
      </c>
      <c r="B25">
        <v>0.5</v>
      </c>
      <c r="C25" t="s">
        <v>24</v>
      </c>
      <c r="D25" t="s">
        <v>43</v>
      </c>
      <c r="E25" t="s">
        <v>26</v>
      </c>
      <c r="F25">
        <v>99008</v>
      </c>
      <c r="G25" s="2">
        <v>0.33</v>
      </c>
      <c r="H25" s="4">
        <f t="shared" si="0"/>
        <v>32.672640000000001</v>
      </c>
      <c r="I25" s="5">
        <f t="shared" si="1"/>
        <v>0.25</v>
      </c>
      <c r="J25" s="6">
        <f t="shared" si="2"/>
        <v>757.57575757575751</v>
      </c>
      <c r="K25" s="3">
        <v>24752</v>
      </c>
      <c r="L25" s="3">
        <v>29702.400000000001</v>
      </c>
      <c r="M25" s="3">
        <v>20122.78</v>
      </c>
      <c r="N25" s="3">
        <v>2823.08</v>
      </c>
      <c r="O25" s="3">
        <v>575.91999999999996</v>
      </c>
      <c r="P25">
        <f t="shared" si="3"/>
        <v>23521.78</v>
      </c>
      <c r="Q25" s="5">
        <f t="shared" si="4"/>
        <v>0.23757453943115706</v>
      </c>
      <c r="R25" s="6">
        <f t="shared" si="5"/>
        <v>719.92284676108204</v>
      </c>
      <c r="S25" s="3">
        <f t="shared" si="6"/>
        <v>1230.2200000000012</v>
      </c>
      <c r="T25" s="7">
        <f t="shared" si="7"/>
        <v>5.2301313931173626E-2</v>
      </c>
      <c r="U25" s="7">
        <f t="shared" si="8"/>
        <v>4.9701842275371735E-2</v>
      </c>
    </row>
    <row r="26" spans="1:21" x14ac:dyDescent="0.3">
      <c r="A26" t="s">
        <v>44</v>
      </c>
      <c r="B26">
        <v>0.5</v>
      </c>
      <c r="C26" t="s">
        <v>24</v>
      </c>
      <c r="D26" t="s">
        <v>43</v>
      </c>
      <c r="E26" t="s">
        <v>26</v>
      </c>
      <c r="F26">
        <v>466752</v>
      </c>
      <c r="G26" s="2">
        <v>0.37</v>
      </c>
      <c r="H26" s="4">
        <f t="shared" si="0"/>
        <v>172.69824</v>
      </c>
      <c r="I26" s="5">
        <f t="shared" si="1"/>
        <v>0.27999999999999997</v>
      </c>
      <c r="J26" s="6">
        <f t="shared" si="2"/>
        <v>756.75675675675677</v>
      </c>
      <c r="K26" s="3">
        <v>130690.56</v>
      </c>
      <c r="L26" s="3">
        <v>156828.65</v>
      </c>
      <c r="M26" s="3">
        <v>104799.61</v>
      </c>
      <c r="N26" s="3">
        <v>14922.05</v>
      </c>
      <c r="O26" s="3">
        <v>3044.14</v>
      </c>
      <c r="P26">
        <f t="shared" si="3"/>
        <v>122765.8</v>
      </c>
      <c r="Q26" s="5">
        <f t="shared" si="4"/>
        <v>0.26302147607294668</v>
      </c>
      <c r="R26" s="6">
        <f t="shared" si="5"/>
        <v>710.86885425120727</v>
      </c>
      <c r="S26" s="3">
        <f t="shared" si="6"/>
        <v>7924.7599999999948</v>
      </c>
      <c r="T26" s="7">
        <f t="shared" si="7"/>
        <v>6.4551854017975641E-2</v>
      </c>
      <c r="U26" s="7">
        <f t="shared" si="8"/>
        <v>6.0637585453761883E-2</v>
      </c>
    </row>
    <row r="27" spans="1:21" x14ac:dyDescent="0.3">
      <c r="A27" t="s">
        <v>45</v>
      </c>
      <c r="B27">
        <v>0.5</v>
      </c>
      <c r="C27" t="s">
        <v>28</v>
      </c>
      <c r="D27" t="s">
        <v>43</v>
      </c>
      <c r="E27" t="s">
        <v>26</v>
      </c>
      <c r="F27">
        <v>117936</v>
      </c>
      <c r="G27" s="2">
        <v>0.46500000000000002</v>
      </c>
      <c r="H27" s="4">
        <f t="shared" si="0"/>
        <v>54.840240000000009</v>
      </c>
      <c r="I27" s="5">
        <f t="shared" si="1"/>
        <v>0.4</v>
      </c>
      <c r="J27" s="6">
        <f t="shared" si="2"/>
        <v>860.21505376344078</v>
      </c>
      <c r="K27" s="3">
        <v>47174.400000000001</v>
      </c>
      <c r="L27" s="3">
        <v>56609.279999999999</v>
      </c>
      <c r="M27" s="3">
        <v>36433.589999999997</v>
      </c>
      <c r="N27" s="3">
        <v>4738.47</v>
      </c>
      <c r="O27" s="3">
        <v>966.66</v>
      </c>
      <c r="P27">
        <f t="shared" si="3"/>
        <v>42138.720000000001</v>
      </c>
      <c r="Q27" s="5">
        <f t="shared" si="4"/>
        <v>0.35730158730158729</v>
      </c>
      <c r="R27" s="6">
        <f t="shared" si="5"/>
        <v>768.39051032599411</v>
      </c>
      <c r="S27" s="3">
        <f t="shared" si="6"/>
        <v>5035.68</v>
      </c>
      <c r="T27" s="7">
        <f t="shared" si="7"/>
        <v>0.11950244335850733</v>
      </c>
      <c r="U27" s="7">
        <f t="shared" si="8"/>
        <v>0.10674603174603176</v>
      </c>
    </row>
    <row r="28" spans="1:21" x14ac:dyDescent="0.3">
      <c r="A28" t="s">
        <v>46</v>
      </c>
      <c r="B28">
        <v>0.5</v>
      </c>
      <c r="C28" t="s">
        <v>28</v>
      </c>
      <c r="D28" t="s">
        <v>43</v>
      </c>
      <c r="E28" t="s">
        <v>26</v>
      </c>
      <c r="F28">
        <v>158536</v>
      </c>
      <c r="G28" s="2">
        <v>0.34699999999999998</v>
      </c>
      <c r="H28" s="4">
        <f t="shared" si="0"/>
        <v>55.011991999999999</v>
      </c>
      <c r="I28" s="5">
        <f t="shared" si="1"/>
        <v>0.28000000000000003</v>
      </c>
      <c r="J28" s="6">
        <f t="shared" si="2"/>
        <v>806.91642651296831</v>
      </c>
      <c r="K28" s="3">
        <v>44390.080000000002</v>
      </c>
      <c r="L28" s="3">
        <v>53268.1</v>
      </c>
      <c r="M28" s="3">
        <v>38557.47</v>
      </c>
      <c r="N28" s="3">
        <v>4753.34</v>
      </c>
      <c r="O28" s="3">
        <v>969.68</v>
      </c>
      <c r="P28">
        <f t="shared" si="3"/>
        <v>44280.49</v>
      </c>
      <c r="Q28" s="5">
        <f t="shared" si="4"/>
        <v>0.27930873744764595</v>
      </c>
      <c r="R28" s="6">
        <f t="shared" si="5"/>
        <v>804.9243154110834</v>
      </c>
      <c r="S28" s="3">
        <f t="shared" si="6"/>
        <v>109.59000000000378</v>
      </c>
      <c r="T28" s="7">
        <f t="shared" si="7"/>
        <v>2.4749048621639865E-3</v>
      </c>
      <c r="U28" s="7">
        <f t="shared" si="8"/>
        <v>2.4687948298359403E-3</v>
      </c>
    </row>
    <row r="29" spans="1:21" x14ac:dyDescent="0.3">
      <c r="A29" t="s">
        <v>47</v>
      </c>
      <c r="B29">
        <v>0.5</v>
      </c>
      <c r="C29" t="s">
        <v>28</v>
      </c>
      <c r="D29" t="s">
        <v>43</v>
      </c>
      <c r="E29" t="s">
        <v>26</v>
      </c>
      <c r="F29">
        <v>119340</v>
      </c>
      <c r="G29" s="2">
        <v>0.42499999999999999</v>
      </c>
      <c r="H29" s="4">
        <f t="shared" si="0"/>
        <v>50.719499999999996</v>
      </c>
      <c r="I29" s="5">
        <f t="shared" si="1"/>
        <v>0.32999999999999996</v>
      </c>
      <c r="J29" s="6">
        <f t="shared" si="2"/>
        <v>776.47058823529414</v>
      </c>
      <c r="K29" s="3">
        <v>39382.199999999997</v>
      </c>
      <c r="L29" s="3">
        <v>47258.64</v>
      </c>
      <c r="M29" s="3">
        <v>36448.769999999997</v>
      </c>
      <c r="N29" s="3">
        <v>4382.43</v>
      </c>
      <c r="O29" s="3">
        <v>894.03</v>
      </c>
      <c r="P29">
        <f t="shared" si="3"/>
        <v>41725.229999999996</v>
      </c>
      <c r="Q29" s="5">
        <f t="shared" si="4"/>
        <v>0.34963323278029157</v>
      </c>
      <c r="R29" s="6">
        <f t="shared" si="5"/>
        <v>822.66643007127436</v>
      </c>
      <c r="S29" s="3">
        <f t="shared" si="6"/>
        <v>-2343.0299999999988</v>
      </c>
      <c r="T29" s="7">
        <f t="shared" si="7"/>
        <v>-5.6153794718447309E-2</v>
      </c>
      <c r="U29" s="7">
        <f t="shared" si="8"/>
        <v>-5.9494644788762409E-2</v>
      </c>
    </row>
    <row r="30" spans="1:21" x14ac:dyDescent="0.3">
      <c r="A30" t="s">
        <v>48</v>
      </c>
      <c r="B30">
        <v>0.75</v>
      </c>
      <c r="C30" t="s">
        <v>28</v>
      </c>
      <c r="D30" t="s">
        <v>43</v>
      </c>
      <c r="E30" t="s">
        <v>26</v>
      </c>
      <c r="F30">
        <v>29204</v>
      </c>
      <c r="G30" s="2">
        <v>0.63</v>
      </c>
      <c r="H30" s="4">
        <f t="shared" si="0"/>
        <v>18.398520000000001</v>
      </c>
      <c r="I30" s="5">
        <f t="shared" si="1"/>
        <v>0.52</v>
      </c>
      <c r="J30" s="6">
        <f t="shared" si="2"/>
        <v>825.39682539682531</v>
      </c>
      <c r="K30" s="3">
        <v>15186.08</v>
      </c>
      <c r="L30" s="3">
        <v>18223.3</v>
      </c>
      <c r="M30" s="3">
        <v>12821.02</v>
      </c>
      <c r="N30" s="3">
        <v>1589.73</v>
      </c>
      <c r="O30" s="3">
        <v>324.3</v>
      </c>
      <c r="P30">
        <f t="shared" si="3"/>
        <v>14735.05</v>
      </c>
      <c r="Q30" s="5">
        <f t="shared" si="4"/>
        <v>0.50455588275578689</v>
      </c>
      <c r="R30" s="6">
        <f t="shared" si="5"/>
        <v>800.88235358061399</v>
      </c>
      <c r="S30" s="3">
        <f t="shared" si="6"/>
        <v>451.03000000000065</v>
      </c>
      <c r="T30" s="7">
        <f t="shared" si="7"/>
        <v>3.06093294559571E-2</v>
      </c>
      <c r="U30" s="7">
        <f t="shared" si="8"/>
        <v>2.970022546964066E-2</v>
      </c>
    </row>
    <row r="31" spans="1:21" x14ac:dyDescent="0.3">
      <c r="A31" t="s">
        <v>49</v>
      </c>
      <c r="B31">
        <v>0.75</v>
      </c>
      <c r="C31" t="s">
        <v>24</v>
      </c>
      <c r="D31" t="s">
        <v>43</v>
      </c>
      <c r="E31" t="s">
        <v>26</v>
      </c>
      <c r="F31">
        <v>1259104</v>
      </c>
      <c r="G31" s="2">
        <v>0.63</v>
      </c>
      <c r="H31" s="4">
        <f t="shared" si="0"/>
        <v>793.23552000000007</v>
      </c>
      <c r="I31" s="5">
        <f t="shared" si="1"/>
        <v>0.49</v>
      </c>
      <c r="J31" s="6">
        <f t="shared" si="2"/>
        <v>777.77777777777771</v>
      </c>
      <c r="K31" s="3">
        <v>616960.96</v>
      </c>
      <c r="L31" s="3">
        <v>740353.3</v>
      </c>
      <c r="M31" s="3">
        <v>458005.84</v>
      </c>
      <c r="N31" s="3">
        <v>68539.66</v>
      </c>
      <c r="O31" s="3">
        <v>13981.97</v>
      </c>
      <c r="P31">
        <f t="shared" si="3"/>
        <v>540527.47</v>
      </c>
      <c r="Q31" s="5">
        <f t="shared" si="4"/>
        <v>0.42929533223625688</v>
      </c>
      <c r="R31" s="6">
        <f t="shared" si="5"/>
        <v>681.42116227977272</v>
      </c>
      <c r="S31" s="3">
        <f t="shared" si="6"/>
        <v>76433.489999999991</v>
      </c>
      <c r="T31" s="7">
        <f t="shared" si="7"/>
        <v>0.14140537575268838</v>
      </c>
      <c r="U31" s="7">
        <f t="shared" si="8"/>
        <v>0.12388707706886347</v>
      </c>
    </row>
    <row r="32" spans="1:21" x14ac:dyDescent="0.3">
      <c r="A32" t="s">
        <v>50</v>
      </c>
      <c r="B32">
        <v>0.75</v>
      </c>
      <c r="C32" t="s">
        <v>24</v>
      </c>
      <c r="D32" t="s">
        <v>43</v>
      </c>
      <c r="E32" t="s">
        <v>26</v>
      </c>
      <c r="F32">
        <v>520772</v>
      </c>
      <c r="G32" s="2">
        <v>0.63</v>
      </c>
      <c r="H32" s="4">
        <f t="shared" si="0"/>
        <v>328.08636000000001</v>
      </c>
      <c r="I32" s="5">
        <f t="shared" si="1"/>
        <v>0.49</v>
      </c>
      <c r="J32" s="6">
        <f t="shared" si="2"/>
        <v>777.77777777777771</v>
      </c>
      <c r="K32" s="3">
        <v>255178.28</v>
      </c>
      <c r="L32" s="3">
        <v>306214</v>
      </c>
      <c r="M32" s="3">
        <v>191843.8</v>
      </c>
      <c r="N32" s="3">
        <v>28348.38</v>
      </c>
      <c r="O32" s="3">
        <v>5783.02</v>
      </c>
      <c r="P32">
        <f t="shared" si="3"/>
        <v>225975.19999999998</v>
      </c>
      <c r="Q32" s="5">
        <f t="shared" si="4"/>
        <v>0.43392348282933796</v>
      </c>
      <c r="R32" s="6">
        <f t="shared" si="5"/>
        <v>688.76743306244111</v>
      </c>
      <c r="S32" s="3">
        <f t="shared" si="6"/>
        <v>29203.080000000016</v>
      </c>
      <c r="T32" s="7">
        <f t="shared" si="7"/>
        <v>0.12923134928080612</v>
      </c>
      <c r="U32" s="7">
        <f t="shared" si="8"/>
        <v>0.11444187177686133</v>
      </c>
    </row>
    <row r="33" spans="1:21" x14ac:dyDescent="0.3">
      <c r="A33" t="s">
        <v>51</v>
      </c>
      <c r="B33">
        <v>0.75</v>
      </c>
      <c r="C33" t="s">
        <v>24</v>
      </c>
      <c r="D33" t="s">
        <v>43</v>
      </c>
      <c r="E33" t="s">
        <v>26</v>
      </c>
      <c r="F33">
        <v>105840</v>
      </c>
      <c r="G33" s="2">
        <v>0.57499999999999996</v>
      </c>
      <c r="H33" s="4">
        <f t="shared" si="0"/>
        <v>60.85799999999999</v>
      </c>
      <c r="I33" s="5">
        <f t="shared" si="1"/>
        <v>0.43</v>
      </c>
      <c r="J33" s="6">
        <f t="shared" si="2"/>
        <v>747.82608695652186</v>
      </c>
      <c r="K33" s="3">
        <v>45511.199999999997</v>
      </c>
      <c r="L33" s="3">
        <v>54613.45</v>
      </c>
      <c r="M33" s="3">
        <v>35992</v>
      </c>
      <c r="N33" s="3">
        <v>5258.46</v>
      </c>
      <c r="O33" s="3">
        <v>1072.73</v>
      </c>
      <c r="P33">
        <f t="shared" si="3"/>
        <v>42323.19</v>
      </c>
      <c r="Q33" s="5">
        <f t="shared" si="4"/>
        <v>0.39987896825396829</v>
      </c>
      <c r="R33" s="6">
        <f t="shared" si="5"/>
        <v>695.44168391994492</v>
      </c>
      <c r="S33" s="3">
        <f t="shared" si="6"/>
        <v>3188.0099999999948</v>
      </c>
      <c r="T33" s="7">
        <f t="shared" si="7"/>
        <v>7.5325371268091898E-2</v>
      </c>
      <c r="U33" s="7">
        <f t="shared" si="8"/>
        <v>7.0048911037283015E-2</v>
      </c>
    </row>
    <row r="34" spans="1:21" x14ac:dyDescent="0.3">
      <c r="A34" t="s">
        <v>27</v>
      </c>
      <c r="B34">
        <v>0.75</v>
      </c>
      <c r="C34" t="s">
        <v>28</v>
      </c>
      <c r="D34" t="s">
        <v>43</v>
      </c>
      <c r="E34" t="s">
        <v>26</v>
      </c>
      <c r="F34">
        <v>304200</v>
      </c>
      <c r="G34" s="2">
        <v>0.7</v>
      </c>
      <c r="H34" s="4">
        <f t="shared" si="0"/>
        <v>212.94</v>
      </c>
      <c r="I34" s="5">
        <f t="shared" si="1"/>
        <v>0.56999999999999995</v>
      </c>
      <c r="J34" s="6">
        <f t="shared" si="2"/>
        <v>814.28571428571433</v>
      </c>
      <c r="K34" s="3">
        <v>173394</v>
      </c>
      <c r="L34" s="3">
        <v>208072.8</v>
      </c>
      <c r="M34" s="3">
        <v>151262.10999999999</v>
      </c>
      <c r="N34" s="3">
        <v>18399.16</v>
      </c>
      <c r="O34" s="3">
        <v>3753.49</v>
      </c>
      <c r="P34">
        <f t="shared" si="3"/>
        <v>173414.75999999998</v>
      </c>
      <c r="Q34" s="5">
        <f t="shared" si="4"/>
        <v>0.57006824457593686</v>
      </c>
      <c r="R34" s="6">
        <f t="shared" si="5"/>
        <v>814.38320653705262</v>
      </c>
      <c r="S34" s="3">
        <f t="shared" si="6"/>
        <v>-20.759999999980209</v>
      </c>
      <c r="T34" s="7">
        <f t="shared" si="7"/>
        <v>-1.1971299328834645E-4</v>
      </c>
      <c r="U34" s="7">
        <f t="shared" si="8"/>
        <v>-1.1972732620494487E-4</v>
      </c>
    </row>
    <row r="35" spans="1:21" x14ac:dyDescent="0.3">
      <c r="A35" t="s">
        <v>27</v>
      </c>
      <c r="B35">
        <v>0.75</v>
      </c>
      <c r="C35" t="s">
        <v>24</v>
      </c>
      <c r="D35" t="s">
        <v>43</v>
      </c>
      <c r="E35" t="s">
        <v>26</v>
      </c>
      <c r="F35">
        <v>82800</v>
      </c>
      <c r="G35" s="2">
        <v>0.7</v>
      </c>
      <c r="H35" s="4">
        <f t="shared" si="0"/>
        <v>57.959999999999994</v>
      </c>
      <c r="I35" s="5">
        <f t="shared" si="1"/>
        <v>0.56999999999999995</v>
      </c>
      <c r="J35" s="6">
        <f t="shared" si="2"/>
        <v>814.28571428571433</v>
      </c>
      <c r="K35" s="3">
        <v>47196</v>
      </c>
      <c r="L35" s="3">
        <v>56635.199999999997</v>
      </c>
      <c r="M35" s="3">
        <v>34642.25</v>
      </c>
      <c r="N35" s="3">
        <v>5008.0600000000004</v>
      </c>
      <c r="O35" s="3">
        <v>1021.65</v>
      </c>
      <c r="P35">
        <f t="shared" si="3"/>
        <v>40671.96</v>
      </c>
      <c r="Q35" s="5">
        <f t="shared" si="4"/>
        <v>0.49120724637681157</v>
      </c>
      <c r="R35" s="6">
        <f t="shared" si="5"/>
        <v>701.72463768115949</v>
      </c>
      <c r="S35" s="3">
        <f t="shared" si="6"/>
        <v>6524.0400000000009</v>
      </c>
      <c r="T35" s="7">
        <f t="shared" si="7"/>
        <v>0.16040633399521442</v>
      </c>
      <c r="U35" s="7">
        <f t="shared" si="8"/>
        <v>0.13823290109331302</v>
      </c>
    </row>
    <row r="36" spans="1:21" x14ac:dyDescent="0.3">
      <c r="A36" t="s">
        <v>52</v>
      </c>
      <c r="B36">
        <v>0.75</v>
      </c>
      <c r="C36" t="s">
        <v>24</v>
      </c>
      <c r="D36" t="s">
        <v>43</v>
      </c>
      <c r="E36" t="s">
        <v>26</v>
      </c>
      <c r="F36">
        <v>17550</v>
      </c>
      <c r="G36" s="2">
        <v>0.47199999999999998</v>
      </c>
      <c r="H36" s="4">
        <f t="shared" si="0"/>
        <v>8.2835999999999999</v>
      </c>
      <c r="I36" s="5">
        <f t="shared" si="1"/>
        <v>0.37</v>
      </c>
      <c r="J36" s="6">
        <f t="shared" si="2"/>
        <v>783.89830508474574</v>
      </c>
      <c r="K36" s="3">
        <v>6493.5</v>
      </c>
      <c r="L36" s="3">
        <v>7792.2</v>
      </c>
      <c r="M36" s="3">
        <v>5286.14</v>
      </c>
      <c r="N36" s="3">
        <v>715.75</v>
      </c>
      <c r="O36" s="3">
        <v>146.01</v>
      </c>
      <c r="P36">
        <f t="shared" si="3"/>
        <v>6147.9000000000005</v>
      </c>
      <c r="Q36" s="5">
        <f t="shared" si="4"/>
        <v>0.35030769230769232</v>
      </c>
      <c r="R36" s="6">
        <f t="shared" si="5"/>
        <v>742.17731421121255</v>
      </c>
      <c r="S36" s="3">
        <f t="shared" si="6"/>
        <v>345.59999999999945</v>
      </c>
      <c r="T36" s="7">
        <f t="shared" si="7"/>
        <v>5.6214317083882206E-2</v>
      </c>
      <c r="U36" s="7">
        <f t="shared" si="8"/>
        <v>5.3222453222453135E-2</v>
      </c>
    </row>
    <row r="37" spans="1:21" x14ac:dyDescent="0.3">
      <c r="A37" t="s">
        <v>23</v>
      </c>
      <c r="B37">
        <v>0.7</v>
      </c>
      <c r="C37" t="s">
        <v>28</v>
      </c>
      <c r="D37" t="s">
        <v>43</v>
      </c>
      <c r="E37" t="s">
        <v>26</v>
      </c>
      <c r="F37">
        <v>74880</v>
      </c>
      <c r="G37" s="2">
        <v>0.45</v>
      </c>
      <c r="H37" s="4">
        <f t="shared" si="0"/>
        <v>33.695999999999998</v>
      </c>
      <c r="I37" s="5">
        <f t="shared" si="1"/>
        <v>0.36</v>
      </c>
      <c r="J37" s="6">
        <f t="shared" si="2"/>
        <v>800</v>
      </c>
      <c r="K37" s="3">
        <v>26956.799999999999</v>
      </c>
      <c r="L37" s="3">
        <v>32348.16</v>
      </c>
      <c r="M37" s="3">
        <v>23065.360000000001</v>
      </c>
      <c r="N37" s="3">
        <v>2911.5</v>
      </c>
      <c r="O37" s="3">
        <v>593.94000000000005</v>
      </c>
      <c r="P37">
        <f t="shared" si="3"/>
        <v>26570.799999999999</v>
      </c>
      <c r="Q37" s="5">
        <f t="shared" si="4"/>
        <v>0.35484508547008548</v>
      </c>
      <c r="R37" s="6">
        <f t="shared" si="5"/>
        <v>788.54463437796778</v>
      </c>
      <c r="S37" s="3">
        <f t="shared" si="6"/>
        <v>386</v>
      </c>
      <c r="T37" s="7">
        <f t="shared" si="7"/>
        <v>1.452722537522393E-2</v>
      </c>
      <c r="U37" s="7">
        <f t="shared" si="8"/>
        <v>1.4319207027540361E-2</v>
      </c>
    </row>
    <row r="38" spans="1:21" x14ac:dyDescent="0.3">
      <c r="A38" t="s">
        <v>53</v>
      </c>
      <c r="B38">
        <v>0.7</v>
      </c>
      <c r="C38" t="s">
        <v>24</v>
      </c>
      <c r="D38" t="s">
        <v>43</v>
      </c>
      <c r="E38" t="s">
        <v>26</v>
      </c>
      <c r="F38">
        <v>146250</v>
      </c>
      <c r="G38" s="2">
        <v>0.57999999999999996</v>
      </c>
      <c r="H38" s="4">
        <f t="shared" si="0"/>
        <v>84.825000000000003</v>
      </c>
      <c r="I38" s="5">
        <f t="shared" si="1"/>
        <v>0.43</v>
      </c>
      <c r="J38" s="6">
        <f t="shared" si="2"/>
        <v>741.37931034482756</v>
      </c>
      <c r="K38" s="3">
        <v>62887.5</v>
      </c>
      <c r="L38" s="3">
        <v>75465</v>
      </c>
      <c r="M38" s="3">
        <v>48815.25</v>
      </c>
      <c r="N38" s="3">
        <v>7329.3</v>
      </c>
      <c r="O38" s="3">
        <v>1495.2</v>
      </c>
      <c r="P38">
        <f t="shared" si="3"/>
        <v>57639.75</v>
      </c>
      <c r="Q38" s="5">
        <f t="shared" si="4"/>
        <v>0.3941179487179487</v>
      </c>
      <c r="R38" s="6">
        <f t="shared" si="5"/>
        <v>679.51370468611844</v>
      </c>
      <c r="S38" s="3">
        <f t="shared" si="6"/>
        <v>5247.75</v>
      </c>
      <c r="T38" s="7">
        <f t="shared" si="7"/>
        <v>9.1043941030278588E-2</v>
      </c>
      <c r="U38" s="7">
        <f t="shared" si="8"/>
        <v>8.3446630888491358E-2</v>
      </c>
    </row>
    <row r="39" spans="1:21" x14ac:dyDescent="0.3">
      <c r="A39" t="s">
        <v>54</v>
      </c>
      <c r="B39">
        <v>0.7</v>
      </c>
      <c r="C39" t="s">
        <v>28</v>
      </c>
      <c r="D39" t="s">
        <v>43</v>
      </c>
      <c r="E39" t="s">
        <v>26</v>
      </c>
      <c r="F39">
        <v>135373</v>
      </c>
      <c r="G39" s="2">
        <v>0.438</v>
      </c>
      <c r="H39" s="4">
        <f t="shared" si="0"/>
        <v>59.293374</v>
      </c>
      <c r="I39" s="5">
        <f t="shared" si="1"/>
        <v>0.32</v>
      </c>
      <c r="J39" s="6">
        <f t="shared" si="2"/>
        <v>730.59360730593608</v>
      </c>
      <c r="K39" s="3">
        <v>43319.360000000001</v>
      </c>
      <c r="L39" s="3">
        <v>51983.23</v>
      </c>
      <c r="M39" s="3">
        <v>38581.01</v>
      </c>
      <c r="N39" s="3">
        <v>5123.26</v>
      </c>
      <c r="O39" s="3">
        <v>1045.1400000000001</v>
      </c>
      <c r="P39">
        <f t="shared" si="3"/>
        <v>44749.41</v>
      </c>
      <c r="Q39" s="5">
        <f t="shared" si="4"/>
        <v>0.33056377564211475</v>
      </c>
      <c r="R39" s="6">
        <f t="shared" si="5"/>
        <v>754.71181653450867</v>
      </c>
      <c r="S39" s="3">
        <f t="shared" si="6"/>
        <v>-1430.0500000000029</v>
      </c>
      <c r="T39" s="7">
        <f t="shared" si="7"/>
        <v>-3.1956845911488056E-2</v>
      </c>
      <c r="U39" s="7">
        <f t="shared" si="8"/>
        <v>-3.3011798881608656E-2</v>
      </c>
    </row>
    <row r="40" spans="1:21" x14ac:dyDescent="0.3">
      <c r="A40" t="s">
        <v>55</v>
      </c>
      <c r="B40">
        <v>0.7</v>
      </c>
      <c r="C40" t="s">
        <v>24</v>
      </c>
      <c r="D40" t="s">
        <v>43</v>
      </c>
      <c r="E40" t="s">
        <v>26</v>
      </c>
      <c r="F40">
        <v>536599</v>
      </c>
      <c r="G40" s="2">
        <v>0.438</v>
      </c>
      <c r="H40" s="4">
        <f t="shared" si="0"/>
        <v>235.030362</v>
      </c>
      <c r="I40" s="5">
        <f t="shared" si="1"/>
        <v>0.32</v>
      </c>
      <c r="J40" s="6">
        <f t="shared" si="2"/>
        <v>730.59360730593608</v>
      </c>
      <c r="K40" s="3">
        <v>171711.68</v>
      </c>
      <c r="L40" s="3">
        <v>206053.99</v>
      </c>
      <c r="M40" s="3">
        <v>130711.7</v>
      </c>
      <c r="N40" s="3">
        <v>20307.830000000002</v>
      </c>
      <c r="O40" s="3">
        <v>4142.83</v>
      </c>
      <c r="P40">
        <f t="shared" si="3"/>
        <v>155162.35999999999</v>
      </c>
      <c r="Q40" s="5">
        <f t="shared" si="4"/>
        <v>0.28915886909964422</v>
      </c>
      <c r="R40" s="6">
        <f t="shared" si="5"/>
        <v>660.18006643754393</v>
      </c>
      <c r="S40" s="3">
        <f t="shared" si="6"/>
        <v>16549.320000000007</v>
      </c>
      <c r="T40" s="7">
        <f t="shared" si="7"/>
        <v>0.10665808382909366</v>
      </c>
      <c r="U40" s="7">
        <f t="shared" si="8"/>
        <v>9.6378534063611798E-2</v>
      </c>
    </row>
    <row r="41" spans="1:21" x14ac:dyDescent="0.3">
      <c r="A41" t="s">
        <v>56</v>
      </c>
      <c r="B41">
        <v>0.7</v>
      </c>
      <c r="C41" t="s">
        <v>24</v>
      </c>
      <c r="D41" t="s">
        <v>43</v>
      </c>
      <c r="E41" t="s">
        <v>26</v>
      </c>
      <c r="F41">
        <v>37440</v>
      </c>
      <c r="G41" s="2">
        <v>0.45</v>
      </c>
      <c r="H41" s="4">
        <f t="shared" si="0"/>
        <v>16.847999999999999</v>
      </c>
      <c r="I41" s="5">
        <f t="shared" si="1"/>
        <v>0.36</v>
      </c>
      <c r="J41" s="6">
        <f t="shared" si="2"/>
        <v>800</v>
      </c>
      <c r="K41" s="3">
        <v>13478.4</v>
      </c>
      <c r="L41" s="3">
        <v>16174.08</v>
      </c>
      <c r="M41" s="3">
        <v>10319.41</v>
      </c>
      <c r="N41" s="3">
        <v>1455.75</v>
      </c>
      <c r="O41" s="3">
        <v>296.97000000000003</v>
      </c>
      <c r="P41">
        <f t="shared" si="3"/>
        <v>12072.13</v>
      </c>
      <c r="Q41" s="5">
        <f t="shared" si="4"/>
        <v>0.32243936965811965</v>
      </c>
      <c r="R41" s="6">
        <f t="shared" si="5"/>
        <v>716.53193257359919</v>
      </c>
      <c r="S41" s="3">
        <f t="shared" si="6"/>
        <v>1406.2700000000004</v>
      </c>
      <c r="T41" s="7">
        <f t="shared" si="7"/>
        <v>0.11648897087755024</v>
      </c>
      <c r="U41" s="7">
        <f t="shared" si="8"/>
        <v>0.10433508428300098</v>
      </c>
    </row>
    <row r="42" spans="1:21" x14ac:dyDescent="0.3">
      <c r="A42" t="s">
        <v>57</v>
      </c>
      <c r="B42">
        <v>0.7</v>
      </c>
      <c r="C42" t="s">
        <v>24</v>
      </c>
      <c r="D42" t="s">
        <v>43</v>
      </c>
      <c r="E42" t="s">
        <v>26</v>
      </c>
      <c r="F42">
        <v>31140</v>
      </c>
      <c r="G42" s="2">
        <v>0.5</v>
      </c>
      <c r="H42" s="4">
        <f t="shared" si="0"/>
        <v>15.57</v>
      </c>
      <c r="I42" s="5">
        <f t="shared" si="1"/>
        <v>0.41</v>
      </c>
      <c r="J42" s="6">
        <f t="shared" si="2"/>
        <v>820</v>
      </c>
      <c r="K42" s="3">
        <v>12767.4</v>
      </c>
      <c r="L42" s="3">
        <v>15320.88</v>
      </c>
      <c r="M42" s="3">
        <v>10269.26</v>
      </c>
      <c r="N42" s="3">
        <v>1345.33</v>
      </c>
      <c r="O42" s="3">
        <v>274.45</v>
      </c>
      <c r="P42">
        <f t="shared" si="3"/>
        <v>11889.04</v>
      </c>
      <c r="Q42" s="5">
        <f t="shared" si="4"/>
        <v>0.38179319203596662</v>
      </c>
      <c r="R42" s="6">
        <f t="shared" si="5"/>
        <v>763.58638407193325</v>
      </c>
      <c r="S42" s="3">
        <f t="shared" si="6"/>
        <v>878.35999999999876</v>
      </c>
      <c r="T42" s="7">
        <f t="shared" si="7"/>
        <v>7.387980863046964E-2</v>
      </c>
      <c r="U42" s="7">
        <f t="shared" si="8"/>
        <v>6.8797092595203307E-2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76" zoomScaleNormal="76" workbookViewId="0">
      <selection activeCell="P17" sqref="P17"/>
    </sheetView>
  </sheetViews>
  <sheetFormatPr defaultRowHeight="14.4" x14ac:dyDescent="0.3"/>
  <cols>
    <col min="1" max="1" width="20.5546875" customWidth="1"/>
    <col min="2" max="2" width="10.5546875" customWidth="1"/>
    <col min="3" max="3" width="12.88671875" customWidth="1"/>
    <col min="4" max="4" width="14.77734375" customWidth="1"/>
    <col min="5" max="5" width="7.109375" customWidth="1"/>
    <col min="6" max="6" width="15.21875" customWidth="1"/>
    <col min="7" max="7" width="14.88671875" customWidth="1"/>
    <col min="8" max="8" width="15.44140625" customWidth="1"/>
    <col min="9" max="9" width="17.33203125" customWidth="1"/>
    <col min="10" max="10" width="16.109375" customWidth="1"/>
    <col min="11" max="11" width="18.33203125" customWidth="1"/>
    <col min="12" max="12" width="19.77734375" customWidth="1"/>
    <col min="13" max="13" width="22.33203125" customWidth="1"/>
    <col min="14" max="14" width="21.33203125" customWidth="1"/>
    <col min="15" max="15" width="17.88671875" customWidth="1"/>
    <col min="16" max="16" width="24.5546875" customWidth="1"/>
    <col min="17" max="18" width="20.5546875" customWidth="1"/>
    <col min="19" max="19" width="21.109375" customWidth="1"/>
    <col min="20" max="20" width="18.77734375" customWidth="1"/>
    <col min="21" max="21" width="14.21875" customWidth="1"/>
  </cols>
  <sheetData>
    <row r="1" spans="1:24" s="1" customFormat="1" ht="43.2" customHeight="1" x14ac:dyDescent="0.3">
      <c r="A1" s="1" t="s">
        <v>2</v>
      </c>
      <c r="B1" s="1" t="s">
        <v>3</v>
      </c>
      <c r="C1" s="1" t="s">
        <v>4</v>
      </c>
      <c r="D1" s="1" t="s">
        <v>5</v>
      </c>
      <c r="E1" s="1" t="s">
        <v>6</v>
      </c>
      <c r="F1" s="1" t="s">
        <v>7</v>
      </c>
      <c r="G1" s="1" t="s">
        <v>8</v>
      </c>
      <c r="H1" s="1" t="s">
        <v>9</v>
      </c>
      <c r="I1" s="1" t="s">
        <v>60</v>
      </c>
      <c r="J1" s="1" t="s">
        <v>61</v>
      </c>
      <c r="K1" s="1" t="s">
        <v>62</v>
      </c>
      <c r="L1" s="1" t="s">
        <v>63</v>
      </c>
      <c r="M1" s="1" t="s">
        <v>64</v>
      </c>
      <c r="N1" s="1" t="s">
        <v>65</v>
      </c>
      <c r="O1" s="1" t="s">
        <v>66</v>
      </c>
      <c r="P1" s="1" t="s">
        <v>67</v>
      </c>
      <c r="Q1" s="1" t="s">
        <v>68</v>
      </c>
      <c r="R1" s="1" t="s">
        <v>69</v>
      </c>
      <c r="S1" s="1" t="s">
        <v>70</v>
      </c>
      <c r="T1" s="1" t="s">
        <v>21</v>
      </c>
      <c r="U1" s="1" t="s">
        <v>22</v>
      </c>
    </row>
    <row r="2" spans="1:24" x14ac:dyDescent="0.3">
      <c r="A2" t="s">
        <v>23</v>
      </c>
      <c r="B2">
        <v>0.7</v>
      </c>
      <c r="C2" s="10" t="s">
        <v>72</v>
      </c>
      <c r="D2" t="s">
        <v>25</v>
      </c>
      <c r="E2" t="s">
        <v>26</v>
      </c>
      <c r="F2">
        <v>34560</v>
      </c>
      <c r="G2" s="2">
        <v>0.45</v>
      </c>
      <c r="H2" s="4">
        <v>15.552</v>
      </c>
      <c r="I2" s="5">
        <v>0.12430066650702427</v>
      </c>
      <c r="J2" s="6">
        <v>276.22370334894282</v>
      </c>
      <c r="K2" s="3">
        <v>4295.8310344827587</v>
      </c>
      <c r="L2" s="3">
        <v>4295.8310344827587</v>
      </c>
      <c r="M2" s="3">
        <v>3310.2000000000003</v>
      </c>
      <c r="N2" s="3">
        <v>463.36896551724141</v>
      </c>
      <c r="O2" s="3">
        <v>94.527586206896558</v>
      </c>
      <c r="P2" s="3">
        <v>3868.096551724138</v>
      </c>
      <c r="Q2" s="5">
        <v>0.11192409003831418</v>
      </c>
      <c r="R2" s="6">
        <v>248.72020008514264</v>
      </c>
      <c r="S2" s="3">
        <v>427.7344827586208</v>
      </c>
      <c r="T2" s="8">
        <v>0.11058009463801143</v>
      </c>
      <c r="U2" s="8">
        <v>9.9569670996178361E-2</v>
      </c>
      <c r="W2" s="10" t="s">
        <v>59</v>
      </c>
      <c r="X2">
        <v>2.9</v>
      </c>
    </row>
    <row r="3" spans="1:24" x14ac:dyDescent="0.3">
      <c r="A3" t="s">
        <v>27</v>
      </c>
      <c r="B3">
        <v>0.75</v>
      </c>
      <c r="C3" t="s">
        <v>28</v>
      </c>
      <c r="D3" t="s">
        <v>29</v>
      </c>
      <c r="E3" t="s">
        <v>26</v>
      </c>
      <c r="F3">
        <v>163800</v>
      </c>
      <c r="G3" s="2">
        <v>0.7</v>
      </c>
      <c r="H3" s="4">
        <v>114.66</v>
      </c>
      <c r="I3" s="5">
        <v>0.2164876005220833</v>
      </c>
      <c r="J3" s="6">
        <v>309.26800074583332</v>
      </c>
      <c r="K3" s="3">
        <v>35460.668965517245</v>
      </c>
      <c r="L3" s="3">
        <v>35460.668965517245</v>
      </c>
      <c r="M3" s="3">
        <v>28085.800000000003</v>
      </c>
      <c r="N3" s="3">
        <v>3416.2896551724139</v>
      </c>
      <c r="O3" s="3">
        <v>696.93448275862067</v>
      </c>
      <c r="P3" s="3">
        <v>32199.024137931039</v>
      </c>
      <c r="Q3" s="5">
        <v>0.19657523893730794</v>
      </c>
      <c r="R3" s="6">
        <v>280.82176991043991</v>
      </c>
      <c r="S3" s="3">
        <v>3261.6448275862035</v>
      </c>
      <c r="T3" s="8">
        <v>0.10129638754312204</v>
      </c>
      <c r="U3" s="11"/>
    </row>
    <row r="4" spans="1:24" x14ac:dyDescent="0.3">
      <c r="A4" t="s">
        <v>30</v>
      </c>
      <c r="B4">
        <v>0.5</v>
      </c>
      <c r="C4" t="s">
        <v>24</v>
      </c>
      <c r="D4" t="s">
        <v>31</v>
      </c>
      <c r="E4" t="s">
        <v>26</v>
      </c>
      <c r="F4">
        <v>152364</v>
      </c>
      <c r="G4" s="2">
        <v>0.33</v>
      </c>
      <c r="H4" s="4">
        <v>50.280120000000004</v>
      </c>
      <c r="I4" s="5">
        <v>8.793103448275863E-2</v>
      </c>
      <c r="J4" s="6">
        <v>266.45768025078365</v>
      </c>
      <c r="K4" s="3">
        <v>13397.524137931036</v>
      </c>
      <c r="L4" s="3">
        <v>13397.524137931036</v>
      </c>
      <c r="M4" s="3">
        <v>11977.557710958223</v>
      </c>
      <c r="N4" s="3">
        <v>1616.9702909793602</v>
      </c>
      <c r="O4" s="3">
        <v>359.32673132874669</v>
      </c>
      <c r="P4" s="3">
        <v>13953.854733266331</v>
      </c>
      <c r="Q4" s="5">
        <v>9.1582360224635284E-2</v>
      </c>
      <c r="R4" s="6">
        <v>277.52230371101604</v>
      </c>
      <c r="S4" s="3">
        <v>-556.33059533529695</v>
      </c>
      <c r="T4" s="8">
        <v>-3.986931252831457E-2</v>
      </c>
      <c r="U4" s="11"/>
    </row>
    <row r="5" spans="1:24" x14ac:dyDescent="0.3">
      <c r="A5" t="s">
        <v>23</v>
      </c>
      <c r="B5">
        <v>0.7</v>
      </c>
      <c r="C5" t="s">
        <v>24</v>
      </c>
      <c r="D5" t="s">
        <v>31</v>
      </c>
      <c r="E5" t="s">
        <v>26</v>
      </c>
      <c r="F5">
        <v>256980</v>
      </c>
      <c r="G5" s="2">
        <v>0.45</v>
      </c>
      <c r="H5" s="4">
        <v>115.64100000000001</v>
      </c>
      <c r="I5" s="16"/>
      <c r="J5" s="6">
        <v>275.86206896551727</v>
      </c>
      <c r="K5" s="3">
        <v>31900.96551724138</v>
      </c>
      <c r="L5" s="3">
        <v>31900.96551724138</v>
      </c>
      <c r="M5" s="3">
        <v>24613.85345034318</v>
      </c>
      <c r="N5" s="3">
        <v>3322.8702157963294</v>
      </c>
      <c r="O5" s="3">
        <v>738.41560351029534</v>
      </c>
      <c r="P5" s="3">
        <v>28675.139269649804</v>
      </c>
      <c r="Q5" s="5">
        <v>0.11158510105708538</v>
      </c>
      <c r="R5" s="6">
        <v>247.96689123796753</v>
      </c>
      <c r="S5" s="3">
        <v>3225.8262475915776</v>
      </c>
      <c r="T5" s="8">
        <v>0.11249557385779954</v>
      </c>
      <c r="U5" s="8">
        <v>0.10112001926236774</v>
      </c>
    </row>
    <row r="6" spans="1:24" x14ac:dyDescent="0.3">
      <c r="A6" s="10" t="s">
        <v>32</v>
      </c>
      <c r="B6" s="14" t="s">
        <v>0</v>
      </c>
      <c r="C6" t="s">
        <v>24</v>
      </c>
      <c r="D6" t="s">
        <v>31</v>
      </c>
      <c r="E6" t="s">
        <v>26</v>
      </c>
      <c r="F6">
        <v>25630</v>
      </c>
      <c r="G6" s="2">
        <v>0.45700000000000002</v>
      </c>
      <c r="H6" s="4">
        <v>11.712909999999999</v>
      </c>
      <c r="I6" s="5">
        <v>0.14137931034482759</v>
      </c>
      <c r="J6" s="6">
        <v>309.36391760356145</v>
      </c>
      <c r="K6" s="3">
        <v>3623.5517241379307</v>
      </c>
      <c r="L6" s="3">
        <v>3623.5517241379307</v>
      </c>
      <c r="M6" s="3">
        <v>2479.4665390519021</v>
      </c>
      <c r="N6" s="3">
        <v>334.72798277200684</v>
      </c>
      <c r="O6" s="3">
        <v>74.383996171557058</v>
      </c>
      <c r="P6" s="3">
        <v>2888.5785179954664</v>
      </c>
      <c r="Q6" s="5">
        <v>0.11270302450235919</v>
      </c>
      <c r="R6" s="6">
        <v>246.61493326555623</v>
      </c>
      <c r="S6" s="3">
        <v>734.97320614246462</v>
      </c>
      <c r="T6" s="8">
        <v>0.25444113828434217</v>
      </c>
      <c r="U6" s="8">
        <v>0.20283226571502028</v>
      </c>
    </row>
    <row r="7" spans="1:24" x14ac:dyDescent="0.3">
      <c r="A7" s="10" t="s">
        <v>33</v>
      </c>
      <c r="B7" s="14" t="s">
        <v>81</v>
      </c>
      <c r="C7" t="s">
        <v>24</v>
      </c>
      <c r="D7" t="s">
        <v>31</v>
      </c>
      <c r="E7" t="s">
        <v>26</v>
      </c>
      <c r="F7">
        <v>24960</v>
      </c>
      <c r="G7" s="2">
        <v>0.37</v>
      </c>
      <c r="H7" s="4">
        <v>9.2352000000000007</v>
      </c>
      <c r="I7" s="5">
        <v>9.4484969053934581E-2</v>
      </c>
      <c r="J7" s="6">
        <v>255.3647812268502</v>
      </c>
      <c r="K7" s="3">
        <v>2358.344827586207</v>
      </c>
      <c r="L7" s="3">
        <v>2358.344827586207</v>
      </c>
      <c r="M7" s="3">
        <v>2110.8945879252205</v>
      </c>
      <c r="N7" s="3">
        <v>284.97076936990481</v>
      </c>
      <c r="O7" s="3">
        <v>63.326837637756618</v>
      </c>
      <c r="P7" s="3">
        <v>2459.1921949328821</v>
      </c>
      <c r="Q7" s="5">
        <v>9.85253283226315E-2</v>
      </c>
      <c r="R7" s="6">
        <v>266.28467114224725</v>
      </c>
      <c r="S7" s="3">
        <v>-100.84736734667504</v>
      </c>
      <c r="T7" s="8">
        <v>-4.1008330928533808E-2</v>
      </c>
      <c r="U7" s="8">
        <v>-4.2761926147116269E-2</v>
      </c>
    </row>
    <row r="8" spans="1:24" x14ac:dyDescent="0.3">
      <c r="A8" t="s">
        <v>34</v>
      </c>
      <c r="B8">
        <v>0.5</v>
      </c>
      <c r="C8" t="s">
        <v>28</v>
      </c>
      <c r="D8" t="s">
        <v>31</v>
      </c>
      <c r="E8" t="s">
        <v>26</v>
      </c>
      <c r="F8">
        <v>28900</v>
      </c>
      <c r="G8" s="2">
        <v>0.35</v>
      </c>
      <c r="H8" s="4">
        <v>10.115</v>
      </c>
      <c r="I8" s="5">
        <v>0.10344827586206896</v>
      </c>
      <c r="J8" s="6">
        <v>295.56650246305418</v>
      </c>
      <c r="K8" s="3">
        <v>2989.655172413793</v>
      </c>
      <c r="L8" s="3">
        <v>2989.655172413793</v>
      </c>
      <c r="M8" s="3">
        <v>2453.2717730141626</v>
      </c>
      <c r="N8" s="3">
        <v>331.19168935691192</v>
      </c>
      <c r="O8" s="3">
        <v>73.598153190424867</v>
      </c>
      <c r="P8" s="3">
        <v>2858.0616155614994</v>
      </c>
      <c r="Q8" s="5">
        <v>9.8894865590363298E-2</v>
      </c>
      <c r="R8" s="6">
        <v>282.55675882960941</v>
      </c>
      <c r="S8" s="3">
        <v>131.59355685229394</v>
      </c>
      <c r="T8" s="8">
        <v>4.60429390800383E-2</v>
      </c>
      <c r="U8" s="8">
        <v>4.4016299293154836E-2</v>
      </c>
    </row>
    <row r="9" spans="1:24" x14ac:dyDescent="0.3">
      <c r="A9" t="s">
        <v>35</v>
      </c>
      <c r="B9">
        <v>0.5</v>
      </c>
      <c r="C9" t="s">
        <v>24</v>
      </c>
      <c r="D9" t="s">
        <v>36</v>
      </c>
      <c r="E9" t="s">
        <v>26</v>
      </c>
      <c r="F9">
        <v>156000</v>
      </c>
      <c r="G9" s="2">
        <v>0.53</v>
      </c>
      <c r="H9" s="4">
        <v>82.68</v>
      </c>
      <c r="I9" s="5">
        <v>0.12758620689655173</v>
      </c>
      <c r="J9" s="6">
        <v>240.72869225764475</v>
      </c>
      <c r="K9" s="3">
        <v>19903.448275862069</v>
      </c>
      <c r="L9" s="3">
        <v>19903.448275862069</v>
      </c>
      <c r="M9" s="3">
        <v>17665.463601532567</v>
      </c>
      <c r="N9" s="3">
        <v>2384.837586206897</v>
      </c>
      <c r="O9" s="3">
        <v>529.96390804597706</v>
      </c>
      <c r="P9" s="3">
        <v>20580.265095785442</v>
      </c>
      <c r="Q9" s="5">
        <v>0.1319247762550349</v>
      </c>
      <c r="R9" s="6">
        <v>248.91467217931108</v>
      </c>
      <c r="S9" s="3">
        <v>-676.81681992337337</v>
      </c>
      <c r="T9" s="11"/>
      <c r="U9" s="8">
        <v>-3.400500308000317E-2</v>
      </c>
    </row>
    <row r="10" spans="1:24" x14ac:dyDescent="0.3">
      <c r="A10" s="14" t="s">
        <v>77</v>
      </c>
      <c r="B10">
        <v>0.5</v>
      </c>
      <c r="C10" t="s">
        <v>24</v>
      </c>
      <c r="D10" t="s">
        <v>36</v>
      </c>
      <c r="E10" t="s">
        <v>26</v>
      </c>
      <c r="F10">
        <v>483500</v>
      </c>
      <c r="G10" s="2">
        <v>0.34499999999999997</v>
      </c>
      <c r="H10" s="4">
        <v>166.8075</v>
      </c>
      <c r="I10" s="5">
        <v>8.9655172413793116E-2</v>
      </c>
      <c r="J10" s="6">
        <v>259.87006496751627</v>
      </c>
      <c r="K10" s="3">
        <v>43348.275862068964</v>
      </c>
      <c r="L10" s="3">
        <v>43348.275862068964</v>
      </c>
      <c r="M10" s="3">
        <v>34629.274536526689</v>
      </c>
      <c r="N10" s="3">
        <v>4674.9520624311035</v>
      </c>
      <c r="O10" s="3">
        <v>1038.8782360958007</v>
      </c>
      <c r="P10" s="3">
        <v>40343.104835053593</v>
      </c>
      <c r="Q10" s="5">
        <v>8.3439720444785093E-2</v>
      </c>
      <c r="R10" s="6">
        <v>241.85426215879735</v>
      </c>
      <c r="S10" s="3">
        <v>3005.1710270153731</v>
      </c>
      <c r="T10" s="8">
        <v>7.449032590085182E-2</v>
      </c>
      <c r="U10" s="8">
        <v>6.9326195038935501E-2</v>
      </c>
    </row>
    <row r="11" spans="1:24" x14ac:dyDescent="0.3">
      <c r="A11" t="s">
        <v>38</v>
      </c>
      <c r="B11">
        <v>0.5</v>
      </c>
      <c r="C11" t="s">
        <v>28</v>
      </c>
      <c r="D11" t="s">
        <v>36</v>
      </c>
      <c r="E11" t="s">
        <v>26</v>
      </c>
      <c r="F11">
        <v>259320</v>
      </c>
      <c r="G11" s="2">
        <v>0.51</v>
      </c>
      <c r="H11" s="4">
        <v>132.25320000000002</v>
      </c>
      <c r="I11" s="16"/>
      <c r="J11" s="6">
        <v>243.40770791075047</v>
      </c>
      <c r="K11" s="3">
        <v>32191.448275862069</v>
      </c>
      <c r="L11" s="3">
        <v>32191.448275862069</v>
      </c>
      <c r="M11" s="3">
        <v>30285.660379077159</v>
      </c>
      <c r="N11" s="3">
        <v>4088.5641511754166</v>
      </c>
      <c r="O11" s="3">
        <v>908.5698113723148</v>
      </c>
      <c r="P11" s="3">
        <v>35282.794341624889</v>
      </c>
      <c r="Q11" s="5">
        <v>0.13605890151791181</v>
      </c>
      <c r="R11" s="6">
        <v>266.78215983904272</v>
      </c>
      <c r="S11" s="3">
        <v>-3091.3460657628234</v>
      </c>
      <c r="T11" s="8">
        <v>-8.7616248186890525E-2</v>
      </c>
      <c r="U11" s="8">
        <v>-9.6030040005400746E-2</v>
      </c>
    </row>
    <row r="12" spans="1:24" x14ac:dyDescent="0.3">
      <c r="A12" t="s">
        <v>39</v>
      </c>
      <c r="B12">
        <v>0.5</v>
      </c>
      <c r="C12" t="s">
        <v>28</v>
      </c>
      <c r="D12" t="s">
        <v>36</v>
      </c>
      <c r="E12" s="13"/>
      <c r="F12">
        <v>763980</v>
      </c>
      <c r="G12" s="2">
        <v>0.41499999999999998</v>
      </c>
      <c r="H12" s="4">
        <v>317.05170000000004</v>
      </c>
      <c r="I12" s="5">
        <v>0.12068965517241378</v>
      </c>
      <c r="J12" s="6">
        <v>290.81844619858742</v>
      </c>
      <c r="K12" s="3">
        <v>92204.482758620696</v>
      </c>
      <c r="L12" s="3">
        <v>92204.482758620696</v>
      </c>
      <c r="M12" s="3">
        <v>74879.802765401007</v>
      </c>
      <c r="N12" s="3">
        <v>10108.773373329137</v>
      </c>
      <c r="O12" s="3">
        <v>2246.3940829620301</v>
      </c>
      <c r="P12" s="3">
        <v>87234.970221692172</v>
      </c>
      <c r="Q12" s="5">
        <v>0.11418488732910831</v>
      </c>
      <c r="R12" s="6">
        <v>275.14430681712844</v>
      </c>
      <c r="S12" s="3">
        <v>4969.5125369285233</v>
      </c>
      <c r="T12" s="8">
        <v>5.6966976939401608E-2</v>
      </c>
      <c r="U12" s="8">
        <v>5.3896647844531152E-2</v>
      </c>
    </row>
    <row r="13" spans="1:24" x14ac:dyDescent="0.3">
      <c r="A13" t="s">
        <v>40</v>
      </c>
      <c r="B13">
        <v>0.5</v>
      </c>
      <c r="C13" t="s">
        <v>28</v>
      </c>
      <c r="D13" t="s">
        <v>41</v>
      </c>
      <c r="E13" s="13"/>
      <c r="F13">
        <v>85620</v>
      </c>
      <c r="G13" s="2">
        <v>0.44500000000000001</v>
      </c>
      <c r="H13" s="4">
        <v>38.100900000000003</v>
      </c>
      <c r="I13" s="5">
        <v>0.12931034482758622</v>
      </c>
      <c r="J13" s="6">
        <v>290.58504455637348</v>
      </c>
      <c r="K13" s="3">
        <v>11071.551724137931</v>
      </c>
      <c r="L13" s="3">
        <v>11071.551724137931</v>
      </c>
      <c r="M13" s="3">
        <v>9875.8455056900821</v>
      </c>
      <c r="N13" s="3">
        <v>1333.2391432681611</v>
      </c>
      <c r="O13" s="3">
        <v>296.27536517070246</v>
      </c>
      <c r="P13" s="3">
        <v>11505.360014128944</v>
      </c>
      <c r="Q13" s="5">
        <v>0.13437701488120701</v>
      </c>
      <c r="R13" s="6">
        <v>301.97081995776858</v>
      </c>
      <c r="S13" s="3">
        <v>-433.80828999101328</v>
      </c>
      <c r="T13" s="8">
        <v>-3.7704886197240509E-2</v>
      </c>
      <c r="U13" s="8">
        <v>-3.9182248414667553E-2</v>
      </c>
    </row>
    <row r="14" spans="1:24" x14ac:dyDescent="0.3">
      <c r="A14" t="s">
        <v>42</v>
      </c>
      <c r="B14">
        <v>0.5</v>
      </c>
      <c r="C14" s="14" t="s">
        <v>71</v>
      </c>
      <c r="D14" t="s">
        <v>41</v>
      </c>
      <c r="E14" t="s">
        <v>26</v>
      </c>
      <c r="F14">
        <v>256300</v>
      </c>
      <c r="G14" s="2">
        <v>0.33</v>
      </c>
      <c r="H14" s="4">
        <v>84.578999999999994</v>
      </c>
      <c r="I14" s="5">
        <v>8.793103448275863E-2</v>
      </c>
      <c r="J14" s="6">
        <v>266.45768025078371</v>
      </c>
      <c r="K14" s="3">
        <v>22536.724137931036</v>
      </c>
      <c r="L14" s="3">
        <v>22536.724137931036</v>
      </c>
      <c r="M14" s="3">
        <v>17962.562809274903</v>
      </c>
      <c r="N14" s="3">
        <v>2424.9459792521125</v>
      </c>
      <c r="O14" s="3">
        <v>538.87688427824708</v>
      </c>
      <c r="P14" s="3">
        <v>20926.385672805263</v>
      </c>
      <c r="Q14" s="5">
        <v>8.1648012769431386E-2</v>
      </c>
      <c r="R14" s="6">
        <v>247.41822051342845</v>
      </c>
      <c r="S14" s="3">
        <v>1610.3384651257711</v>
      </c>
      <c r="T14" s="8">
        <v>7.695253687398465E-2</v>
      </c>
      <c r="U14" s="8">
        <v>7.1453972426074472E-2</v>
      </c>
    </row>
    <row r="15" spans="1:24" x14ac:dyDescent="0.3">
      <c r="A15" t="s">
        <v>30</v>
      </c>
      <c r="B15">
        <v>0.5</v>
      </c>
      <c r="C15" t="s">
        <v>24</v>
      </c>
      <c r="D15" t="s">
        <v>43</v>
      </c>
      <c r="E15" t="s">
        <v>26</v>
      </c>
      <c r="F15">
        <v>46592</v>
      </c>
      <c r="G15" s="2">
        <v>0.33</v>
      </c>
      <c r="H15" s="4">
        <v>15.375360000000001</v>
      </c>
      <c r="I15" s="5">
        <v>8.6206896551724144E-2</v>
      </c>
      <c r="J15" s="6">
        <v>261.23301985370949</v>
      </c>
      <c r="K15" s="3">
        <v>4016.5517241379312</v>
      </c>
      <c r="L15" s="3">
        <v>4819.8620689655172</v>
      </c>
      <c r="M15" s="3">
        <v>3662.6655172413793</v>
      </c>
      <c r="N15" s="3">
        <v>458.10689655172416</v>
      </c>
      <c r="O15" s="3">
        <v>93.455172413793093</v>
      </c>
      <c r="P15" s="3">
        <v>4214.2275862068964</v>
      </c>
      <c r="Q15" s="5">
        <v>9.0449596201212595E-2</v>
      </c>
      <c r="R15" s="6">
        <v>274.08968545821995</v>
      </c>
      <c r="S15" s="3">
        <v>-197.67586206896559</v>
      </c>
      <c r="T15" s="8">
        <v>-4.6906783752248146E-2</v>
      </c>
      <c r="U15" s="8">
        <v>-4.9215315934065952E-2</v>
      </c>
    </row>
    <row r="16" spans="1:24" x14ac:dyDescent="0.3">
      <c r="A16" t="s">
        <v>23</v>
      </c>
      <c r="B16">
        <v>0.7</v>
      </c>
      <c r="C16" t="s">
        <v>24</v>
      </c>
      <c r="D16" t="s">
        <v>43</v>
      </c>
      <c r="E16" t="s">
        <v>26</v>
      </c>
      <c r="F16">
        <v>200160</v>
      </c>
      <c r="G16" s="2">
        <v>0.45</v>
      </c>
      <c r="H16" s="4">
        <v>90.072000000000003</v>
      </c>
      <c r="I16" s="5">
        <v>0.12413793103448277</v>
      </c>
      <c r="J16" s="6">
        <v>275.86206896551727</v>
      </c>
      <c r="K16" s="3">
        <v>24847.448275862072</v>
      </c>
      <c r="L16" s="3">
        <v>29816.937931034481</v>
      </c>
      <c r="M16" s="3">
        <v>19171.565517241379</v>
      </c>
      <c r="N16" s="3">
        <v>2683.6793103448276</v>
      </c>
      <c r="O16" s="3">
        <v>547.46896551724137</v>
      </c>
      <c r="P16" s="3">
        <v>22402.713793103449</v>
      </c>
      <c r="Q16" s="5">
        <v>0.11192402974172387</v>
      </c>
      <c r="R16" s="6">
        <v>248.72006609271969</v>
      </c>
      <c r="S16" s="3">
        <v>2444.7344827586217</v>
      </c>
      <c r="T16" s="8">
        <v>0.10912671140365235</v>
      </c>
      <c r="U16" s="8">
        <v>9.838976041389115E-2</v>
      </c>
    </row>
    <row r="17" spans="1:21" x14ac:dyDescent="0.3">
      <c r="A17" t="s">
        <v>32</v>
      </c>
      <c r="B17" s="13" t="s">
        <v>0</v>
      </c>
      <c r="C17" t="s">
        <v>24</v>
      </c>
      <c r="D17" t="s">
        <v>43</v>
      </c>
      <c r="E17" t="s">
        <v>26</v>
      </c>
      <c r="F17">
        <v>85008</v>
      </c>
      <c r="G17" s="2">
        <v>0.45700000000000002</v>
      </c>
      <c r="H17" s="4">
        <v>38.848656000000005</v>
      </c>
      <c r="I17" s="5">
        <v>0.13793103448275862</v>
      </c>
      <c r="J17" s="6">
        <v>301.81845619859649</v>
      </c>
      <c r="K17" s="3">
        <v>11725.241379310344</v>
      </c>
      <c r="L17" s="3">
        <v>14070.289655172413</v>
      </c>
      <c r="M17" s="3">
        <v>8223.7413793103442</v>
      </c>
      <c r="N17" s="3">
        <v>1157.4896551724137</v>
      </c>
      <c r="O17" s="3">
        <v>236.13103448275862</v>
      </c>
      <c r="P17" s="3">
        <v>9617.3620689655163</v>
      </c>
      <c r="Q17" s="5">
        <v>0.1131347881254178</v>
      </c>
      <c r="R17" s="6">
        <v>247.55971143417463</v>
      </c>
      <c r="S17" s="3">
        <v>2107.879310344827</v>
      </c>
      <c r="T17" s="8">
        <v>0.21917437393220232</v>
      </c>
      <c r="U17" s="8">
        <v>0.17977278609072084</v>
      </c>
    </row>
    <row r="18" spans="1:21" x14ac:dyDescent="0.3">
      <c r="A18" s="14" t="s">
        <v>78</v>
      </c>
      <c r="B18" s="13" t="s">
        <v>1</v>
      </c>
      <c r="C18" t="s">
        <v>24</v>
      </c>
      <c r="D18" t="s">
        <v>43</v>
      </c>
      <c r="E18" t="s">
        <v>26</v>
      </c>
      <c r="F18">
        <v>170816</v>
      </c>
      <c r="G18" s="2">
        <v>0.37</v>
      </c>
      <c r="H18" s="12"/>
      <c r="I18" s="5">
        <v>9.3103448275862075E-2</v>
      </c>
      <c r="J18" s="6">
        <v>251.63094128611368</v>
      </c>
      <c r="K18" s="3">
        <v>15903.558620689655</v>
      </c>
      <c r="L18" s="3">
        <v>19084.272413793104</v>
      </c>
      <c r="M18" s="3">
        <v>14446.096551724138</v>
      </c>
      <c r="N18" s="3">
        <v>1883.0965517241377</v>
      </c>
      <c r="O18" s="3">
        <v>384.15517241379308</v>
      </c>
      <c r="P18" s="3">
        <v>16713.34827586207</v>
      </c>
      <c r="Q18" s="5">
        <v>9.7844161412643266E-2</v>
      </c>
      <c r="R18" s="6">
        <v>264.44367949363044</v>
      </c>
      <c r="S18" s="3">
        <v>-809.78965517241613</v>
      </c>
      <c r="T18" s="8">
        <v>-4.8451671191579192E-2</v>
      </c>
      <c r="U18" s="8">
        <v>-5.0918770728390579E-2</v>
      </c>
    </row>
    <row r="19" spans="1:21" x14ac:dyDescent="0.3">
      <c r="A19" t="s">
        <v>34</v>
      </c>
      <c r="B19">
        <v>0.5</v>
      </c>
      <c r="C19" t="s">
        <v>28</v>
      </c>
      <c r="D19" s="14" t="s">
        <v>74</v>
      </c>
      <c r="E19" t="s">
        <v>26</v>
      </c>
      <c r="F19">
        <v>107520</v>
      </c>
      <c r="G19" s="2">
        <v>0.35</v>
      </c>
      <c r="H19" s="12"/>
      <c r="I19" s="5">
        <v>9.9999999999999992E-2</v>
      </c>
      <c r="J19" s="6">
        <v>285.71428571428572</v>
      </c>
      <c r="K19" s="3">
        <v>10752</v>
      </c>
      <c r="L19" s="3">
        <v>12902.4</v>
      </c>
      <c r="M19" s="3">
        <v>9127.189655172413</v>
      </c>
      <c r="N19" s="3">
        <v>1121.2379310344829</v>
      </c>
      <c r="O19" s="3">
        <v>228.73448275862071</v>
      </c>
      <c r="P19" s="3">
        <v>10477.162068965517</v>
      </c>
      <c r="Q19" s="5">
        <v>9.7443843647372741E-2</v>
      </c>
      <c r="R19" s="6">
        <v>278.41098184963641</v>
      </c>
      <c r="S19" s="3">
        <v>274.83793103448238</v>
      </c>
      <c r="T19" s="8">
        <v>2.6232096938595798E-2</v>
      </c>
      <c r="U19" s="8">
        <v>2.5561563526272542E-2</v>
      </c>
    </row>
    <row r="20" spans="1:21" x14ac:dyDescent="0.3">
      <c r="A20" t="s">
        <v>35</v>
      </c>
      <c r="B20">
        <v>0.5</v>
      </c>
      <c r="C20" t="s">
        <v>24</v>
      </c>
      <c r="D20" t="s">
        <v>43</v>
      </c>
      <c r="E20" t="s">
        <v>26</v>
      </c>
      <c r="F20">
        <v>140400</v>
      </c>
      <c r="G20" s="2">
        <v>0.53</v>
      </c>
      <c r="H20" s="12"/>
      <c r="I20" s="16"/>
      <c r="J20" s="6">
        <v>240.72869225764475</v>
      </c>
      <c r="K20" s="3">
        <v>17913.103448275862</v>
      </c>
      <c r="L20" s="3">
        <v>21495.724137931036</v>
      </c>
      <c r="M20" s="3">
        <v>15898.917241379311</v>
      </c>
      <c r="N20" s="3">
        <v>2217.1</v>
      </c>
      <c r="O20" s="3">
        <v>452.28965517241386</v>
      </c>
      <c r="P20" s="3">
        <v>18568.306896551723</v>
      </c>
      <c r="Q20" s="5">
        <v>0.13225289812358776</v>
      </c>
      <c r="R20" s="6">
        <v>249.53377004450522</v>
      </c>
      <c r="S20" s="3">
        <v>-655.20344827586086</v>
      </c>
      <c r="T20" s="8">
        <v>-3.5286116926338457E-2</v>
      </c>
      <c r="U20" s="8">
        <v>-3.657676907676901E-2</v>
      </c>
    </row>
    <row r="21" spans="1:21" x14ac:dyDescent="0.3">
      <c r="A21" s="10" t="s">
        <v>37</v>
      </c>
      <c r="B21">
        <v>0.5</v>
      </c>
      <c r="C21" t="s">
        <v>24</v>
      </c>
      <c r="D21" t="s">
        <v>43</v>
      </c>
      <c r="E21" t="s">
        <v>26</v>
      </c>
      <c r="F21">
        <v>480480</v>
      </c>
      <c r="G21" s="2">
        <v>0.34499999999999997</v>
      </c>
      <c r="H21" s="12"/>
      <c r="I21" s="5">
        <v>8.6206896551724144E-2</v>
      </c>
      <c r="J21" s="6">
        <v>249.87506246876566</v>
      </c>
      <c r="K21" s="3">
        <v>41420.689655172413</v>
      </c>
      <c r="L21" s="3">
        <v>49704.827586206899</v>
      </c>
      <c r="M21" s="3">
        <v>34412.975862068968</v>
      </c>
      <c r="N21" s="3">
        <v>4938.9655172413795</v>
      </c>
      <c r="O21" s="3">
        <v>1007.551724137931</v>
      </c>
      <c r="P21" s="3">
        <v>40359.49310344828</v>
      </c>
      <c r="Q21" s="5">
        <v>8.3998279019830743E-2</v>
      </c>
      <c r="R21" s="6">
        <v>243.47327252124859</v>
      </c>
      <c r="S21" s="3">
        <v>1061.1965517241383</v>
      </c>
      <c r="T21" s="8">
        <v>2.6293604555540633E-2</v>
      </c>
      <c r="U21" s="8">
        <v>2.5619963369963378E-2</v>
      </c>
    </row>
    <row r="22" spans="1:21" x14ac:dyDescent="0.3">
      <c r="A22" t="s">
        <v>38</v>
      </c>
      <c r="B22">
        <v>0.5</v>
      </c>
      <c r="C22" t="s">
        <v>28</v>
      </c>
      <c r="D22" t="s">
        <v>43</v>
      </c>
      <c r="E22" t="s">
        <v>26</v>
      </c>
      <c r="F22">
        <v>264992</v>
      </c>
      <c r="G22" s="2">
        <v>0.51</v>
      </c>
      <c r="H22" s="12"/>
      <c r="I22" s="5">
        <v>0.12413793103448276</v>
      </c>
      <c r="J22" s="6">
        <v>243.40770791075047</v>
      </c>
      <c r="K22" s="3">
        <v>32895.558620689655</v>
      </c>
      <c r="L22" s="3">
        <v>39474.665517241381</v>
      </c>
      <c r="M22" s="3">
        <v>30948.086206896551</v>
      </c>
      <c r="N22" s="3">
        <v>4026.6655172413793</v>
      </c>
      <c r="O22" s="3">
        <v>821.43793103448286</v>
      </c>
      <c r="P22" s="3">
        <v>35796.189655172413</v>
      </c>
      <c r="Q22" s="5">
        <v>0.13508403897163843</v>
      </c>
      <c r="R22" s="6">
        <v>264.87066465027141</v>
      </c>
      <c r="S22" s="3">
        <v>-2900.6310344827593</v>
      </c>
      <c r="T22" s="8">
        <v>-8.1031837813598948E-2</v>
      </c>
      <c r="U22" s="8">
        <v>-8.8176980604865243E-2</v>
      </c>
    </row>
    <row r="23" spans="1:21" x14ac:dyDescent="0.3">
      <c r="A23" t="s">
        <v>39</v>
      </c>
      <c r="B23">
        <v>0.5</v>
      </c>
      <c r="C23" t="s">
        <v>28</v>
      </c>
      <c r="D23" t="s">
        <v>43</v>
      </c>
      <c r="E23" t="s">
        <v>26</v>
      </c>
      <c r="F23">
        <v>99680</v>
      </c>
      <c r="G23" s="2">
        <v>0.41499999999999998</v>
      </c>
      <c r="H23" s="12"/>
      <c r="I23" s="16"/>
      <c r="J23" s="6">
        <v>290.81844619858748</v>
      </c>
      <c r="K23" s="3">
        <v>12030.344827586207</v>
      </c>
      <c r="L23" s="3">
        <v>14436.413793103447</v>
      </c>
      <c r="M23" s="3">
        <v>9769.9137931034493</v>
      </c>
      <c r="N23" s="3">
        <v>1232.5275862068966</v>
      </c>
      <c r="O23" s="3">
        <v>251.43793103448274</v>
      </c>
      <c r="P23" s="3">
        <v>11253.879310344828</v>
      </c>
      <c r="Q23" s="5">
        <v>0.11290007333813029</v>
      </c>
      <c r="R23" s="6">
        <v>272.04836948947064</v>
      </c>
      <c r="S23" s="3">
        <v>776.4655172413793</v>
      </c>
      <c r="T23" s="8">
        <v>6.8995365582749241E-2</v>
      </c>
      <c r="U23" s="8">
        <v>6.4542249484063285E-2</v>
      </c>
    </row>
    <row r="24" spans="1:21" x14ac:dyDescent="0.3">
      <c r="A24" t="s">
        <v>40</v>
      </c>
      <c r="B24">
        <v>0.5</v>
      </c>
      <c r="C24" t="s">
        <v>28</v>
      </c>
      <c r="D24" t="s">
        <v>43</v>
      </c>
      <c r="E24" t="s">
        <v>26</v>
      </c>
      <c r="F24">
        <v>193440</v>
      </c>
      <c r="G24" s="2">
        <v>0.44500000000000001</v>
      </c>
      <c r="H24" s="12"/>
      <c r="I24" s="5">
        <v>0.12758620689655173</v>
      </c>
      <c r="J24" s="6">
        <v>286.71057729562187</v>
      </c>
      <c r="K24" s="3">
        <v>24680.275862068967</v>
      </c>
      <c r="L24" s="3">
        <v>29616.331034482759</v>
      </c>
      <c r="M24" s="3">
        <v>22312.35172413793</v>
      </c>
      <c r="N24" s="3">
        <v>2564.7620689655173</v>
      </c>
      <c r="O24" s="3">
        <v>523.21724137931028</v>
      </c>
      <c r="P24" s="3">
        <v>25400.331034482762</v>
      </c>
      <c r="Q24" s="5">
        <v>0.13130857648099029</v>
      </c>
      <c r="R24" s="6">
        <v>295.0754527662703</v>
      </c>
      <c r="S24" s="3">
        <v>-720.05517241379437</v>
      </c>
      <c r="T24" s="8">
        <v>-2.834825937647301E-2</v>
      </c>
      <c r="U24" s="8">
        <v>-2.9175329175329223E-2</v>
      </c>
    </row>
    <row r="25" spans="1:21" x14ac:dyDescent="0.3">
      <c r="A25" s="10" t="s">
        <v>42</v>
      </c>
      <c r="B25">
        <v>0.5</v>
      </c>
      <c r="C25" s="14" t="s">
        <v>72</v>
      </c>
      <c r="D25" t="s">
        <v>43</v>
      </c>
      <c r="E25" t="s">
        <v>26</v>
      </c>
      <c r="F25">
        <v>99008</v>
      </c>
      <c r="G25" s="2">
        <v>0.33</v>
      </c>
      <c r="H25" s="12"/>
      <c r="I25" s="5">
        <v>8.6206896551724144E-2</v>
      </c>
      <c r="J25" s="6">
        <v>261.23301985370949</v>
      </c>
      <c r="K25" s="3">
        <v>8535.1724137931033</v>
      </c>
      <c r="L25" s="3">
        <v>10242.206896551725</v>
      </c>
      <c r="M25" s="3">
        <v>6938.8896551724138</v>
      </c>
      <c r="N25" s="3">
        <v>973.47586206896551</v>
      </c>
      <c r="O25" s="3">
        <v>198.59310344827585</v>
      </c>
      <c r="P25" s="3">
        <v>8110.9586206896547</v>
      </c>
      <c r="Q25" s="5">
        <v>8.1922254976261058E-2</v>
      </c>
      <c r="R25" s="6">
        <v>248.24925750382141</v>
      </c>
      <c r="S25" s="3">
        <v>424.21379310344867</v>
      </c>
      <c r="T25" s="8">
        <v>5.2301313931173626E-2</v>
      </c>
      <c r="U25" s="8">
        <v>4.9701842275371735E-2</v>
      </c>
    </row>
    <row r="26" spans="1:21" x14ac:dyDescent="0.3">
      <c r="A26" t="s">
        <v>44</v>
      </c>
      <c r="B26">
        <v>0.5</v>
      </c>
      <c r="C26" s="14" t="s">
        <v>73</v>
      </c>
      <c r="D26" t="s">
        <v>43</v>
      </c>
      <c r="E26" t="s">
        <v>26</v>
      </c>
      <c r="F26">
        <v>466752</v>
      </c>
      <c r="G26" s="2">
        <v>0.37</v>
      </c>
      <c r="H26" s="12"/>
      <c r="I26" s="5">
        <v>9.6551724137931033E-2</v>
      </c>
      <c r="J26" s="6">
        <v>260.95060577819197</v>
      </c>
      <c r="K26" s="3">
        <v>45065.710344827588</v>
      </c>
      <c r="L26" s="3">
        <v>54078.84482758621</v>
      </c>
      <c r="M26" s="3">
        <v>36137.796551724139</v>
      </c>
      <c r="N26" s="3">
        <v>5145.5344827586205</v>
      </c>
      <c r="O26" s="3">
        <v>1049.703448275862</v>
      </c>
      <c r="P26" s="3">
        <v>42333.034482758623</v>
      </c>
      <c r="Q26" s="5">
        <v>9.0697060714809208E-2</v>
      </c>
      <c r="R26" s="6">
        <v>245.12719112110597</v>
      </c>
      <c r="S26" s="3">
        <v>2732.6758620689639</v>
      </c>
      <c r="T26" s="11"/>
      <c r="U26" s="8">
        <v>6.0637585453761883E-2</v>
      </c>
    </row>
    <row r="27" spans="1:21" x14ac:dyDescent="0.3">
      <c r="A27" t="s">
        <v>45</v>
      </c>
      <c r="B27">
        <v>0.5</v>
      </c>
      <c r="C27" t="s">
        <v>28</v>
      </c>
      <c r="D27" t="s">
        <v>43</v>
      </c>
      <c r="E27" s="13"/>
      <c r="F27">
        <v>117936</v>
      </c>
      <c r="G27" s="2">
        <v>0.46500000000000002</v>
      </c>
      <c r="H27" s="12"/>
      <c r="I27" s="5">
        <v>0.13793103448275862</v>
      </c>
      <c r="J27" s="6">
        <v>296.62588060808304</v>
      </c>
      <c r="K27" s="3">
        <v>16267.034482758621</v>
      </c>
      <c r="L27" s="3">
        <v>19520.441379310345</v>
      </c>
      <c r="M27" s="3">
        <v>12563.306896551723</v>
      </c>
      <c r="N27" s="3">
        <v>1633.9551724137932</v>
      </c>
      <c r="O27" s="3">
        <v>333.33103448275864</v>
      </c>
      <c r="P27" s="3">
        <v>14530.593103448276</v>
      </c>
      <c r="Q27" s="5">
        <v>0.12320744389709906</v>
      </c>
      <c r="R27" s="6">
        <v>264.96224493999796</v>
      </c>
      <c r="S27" s="3">
        <v>1736.4413793103449</v>
      </c>
      <c r="T27" s="8">
        <v>0.11950244335850733</v>
      </c>
      <c r="U27" s="8">
        <v>0.10674603174603176</v>
      </c>
    </row>
    <row r="28" spans="1:21" x14ac:dyDescent="0.3">
      <c r="A28" t="s">
        <v>46</v>
      </c>
      <c r="B28">
        <v>0.5</v>
      </c>
      <c r="C28" t="s">
        <v>28</v>
      </c>
      <c r="D28" t="s">
        <v>43</v>
      </c>
      <c r="E28" t="s">
        <v>26</v>
      </c>
      <c r="F28">
        <v>158536</v>
      </c>
      <c r="G28" s="2">
        <v>0.34699999999999998</v>
      </c>
      <c r="H28" s="4">
        <v>55.011991999999999</v>
      </c>
      <c r="I28" s="5">
        <v>9.6551724137931047E-2</v>
      </c>
      <c r="J28" s="6">
        <v>278.2470436251615</v>
      </c>
      <c r="K28" s="3">
        <v>15306.924137931035</v>
      </c>
      <c r="L28" s="3">
        <v>18368.310344827587</v>
      </c>
      <c r="M28" s="3">
        <v>13295.679310344829</v>
      </c>
      <c r="N28" s="3">
        <v>1639.0827586206897</v>
      </c>
      <c r="O28" s="3">
        <v>334.37241379310342</v>
      </c>
      <c r="P28" s="3">
        <v>15269.13448275862</v>
      </c>
      <c r="Q28" s="5">
        <v>9.6313357740567568E-2</v>
      </c>
      <c r="R28" s="6">
        <v>277.56010876244255</v>
      </c>
      <c r="S28" s="3">
        <v>37.789655172415102</v>
      </c>
      <c r="T28" s="8">
        <v>2.4749048621639865E-3</v>
      </c>
      <c r="U28" s="8">
        <v>2.4687948298359403E-3</v>
      </c>
    </row>
    <row r="29" spans="1:21" x14ac:dyDescent="0.3">
      <c r="A29" t="s">
        <v>47</v>
      </c>
      <c r="B29">
        <v>0.5</v>
      </c>
      <c r="C29" t="s">
        <v>28</v>
      </c>
      <c r="D29" t="s">
        <v>43</v>
      </c>
      <c r="E29" t="s">
        <v>26</v>
      </c>
      <c r="F29">
        <v>119340</v>
      </c>
      <c r="G29" s="2">
        <v>0.42499999999999999</v>
      </c>
      <c r="H29" s="4">
        <v>50.719499999999996</v>
      </c>
      <c r="I29" s="5">
        <v>0.11379310344827585</v>
      </c>
      <c r="J29" s="6">
        <v>267.74847870182555</v>
      </c>
      <c r="K29" s="3">
        <v>13580.068965517241</v>
      </c>
      <c r="L29" s="3">
        <v>16296.082758620691</v>
      </c>
      <c r="M29" s="3">
        <v>12568.541379310343</v>
      </c>
      <c r="N29" s="3">
        <v>1511.1827586206898</v>
      </c>
      <c r="O29" s="3">
        <v>308.28620689655173</v>
      </c>
      <c r="P29" s="3">
        <v>14388.010344827586</v>
      </c>
      <c r="Q29" s="5">
        <v>0.12056318371734193</v>
      </c>
      <c r="R29" s="6">
        <v>283.67807933492219</v>
      </c>
      <c r="S29" s="3">
        <v>-807.94137931034447</v>
      </c>
      <c r="T29" s="8">
        <v>-5.6153794718447309E-2</v>
      </c>
      <c r="U29" s="8">
        <v>-5.9494644788762409E-2</v>
      </c>
    </row>
    <row r="30" spans="1:21" x14ac:dyDescent="0.3">
      <c r="A30" s="14" t="s">
        <v>79</v>
      </c>
      <c r="B30">
        <v>0.75</v>
      </c>
      <c r="C30" t="s">
        <v>28</v>
      </c>
      <c r="D30" t="s">
        <v>43</v>
      </c>
      <c r="E30" t="s">
        <v>26</v>
      </c>
      <c r="F30">
        <v>29204</v>
      </c>
      <c r="G30" s="2">
        <v>0.63</v>
      </c>
      <c r="H30" s="4">
        <v>18.398520000000001</v>
      </c>
      <c r="I30" s="5">
        <v>0.17931034482758623</v>
      </c>
      <c r="J30" s="6">
        <v>284.6195949644225</v>
      </c>
      <c r="K30" s="3">
        <v>5236.5793103448277</v>
      </c>
      <c r="L30" s="3">
        <v>6283.8965517241377</v>
      </c>
      <c r="M30" s="3">
        <v>4421.0413793103453</v>
      </c>
      <c r="N30" s="3">
        <v>548.1827586206897</v>
      </c>
      <c r="O30" s="3">
        <v>111.82758620689656</v>
      </c>
      <c r="P30" s="3">
        <v>5081.0517241379312</v>
      </c>
      <c r="Q30" s="5">
        <v>0.17398478715716789</v>
      </c>
      <c r="R30" s="6">
        <v>276.16632882090141</v>
      </c>
      <c r="S30" s="3">
        <v>155.52758620689679</v>
      </c>
      <c r="T30" s="8">
        <v>3.06093294559571E-2</v>
      </c>
      <c r="U30" s="8">
        <v>2.970022546964066E-2</v>
      </c>
    </row>
    <row r="31" spans="1:21" x14ac:dyDescent="0.3">
      <c r="A31" t="s">
        <v>49</v>
      </c>
      <c r="B31">
        <v>0.75</v>
      </c>
      <c r="C31" t="s">
        <v>24</v>
      </c>
      <c r="D31" t="s">
        <v>43</v>
      </c>
      <c r="E31" t="s">
        <v>26</v>
      </c>
      <c r="F31">
        <v>1259104</v>
      </c>
      <c r="G31" s="2">
        <v>0.63</v>
      </c>
      <c r="H31" s="4">
        <v>793.23552000000007</v>
      </c>
      <c r="I31" s="16"/>
      <c r="J31" s="6">
        <v>268.19923371647508</v>
      </c>
      <c r="K31" s="3">
        <v>212745.15862068965</v>
      </c>
      <c r="L31" s="3">
        <v>255294.24137931038</v>
      </c>
      <c r="M31" s="3">
        <v>157933.04827586209</v>
      </c>
      <c r="N31" s="3">
        <v>23634.365517241382</v>
      </c>
      <c r="O31" s="3">
        <v>4821.3689655172411</v>
      </c>
      <c r="P31" s="3">
        <v>186388.78275862068</v>
      </c>
      <c r="Q31" s="5">
        <v>0.14803287318491617</v>
      </c>
      <c r="R31" s="6">
        <v>234.97281457923197</v>
      </c>
      <c r="S31" s="3">
        <v>26356.375862068962</v>
      </c>
      <c r="T31" s="8">
        <v>0.14140537575268838</v>
      </c>
      <c r="U31" s="8">
        <v>0.12388707706886347</v>
      </c>
    </row>
    <row r="32" spans="1:21" x14ac:dyDescent="0.3">
      <c r="A32" t="s">
        <v>50</v>
      </c>
      <c r="B32">
        <v>0.75</v>
      </c>
      <c r="C32" t="s">
        <v>24</v>
      </c>
      <c r="D32" s="14" t="s">
        <v>75</v>
      </c>
      <c r="E32" t="s">
        <v>26</v>
      </c>
      <c r="F32">
        <v>520772</v>
      </c>
      <c r="G32" s="2">
        <v>0.63</v>
      </c>
      <c r="H32" s="4">
        <v>328.08636000000001</v>
      </c>
      <c r="I32" s="5">
        <v>0.16896551724137931</v>
      </c>
      <c r="J32" s="6">
        <v>268.19923371647508</v>
      </c>
      <c r="K32" s="3">
        <v>87992.510344827591</v>
      </c>
      <c r="L32" s="3">
        <v>105591.03448275862</v>
      </c>
      <c r="M32" s="3">
        <v>66153.034482758623</v>
      </c>
      <c r="N32" s="3">
        <v>9775.303448275863</v>
      </c>
      <c r="O32" s="3">
        <v>1994.1448275862072</v>
      </c>
      <c r="P32" s="3">
        <v>77922.482758620681</v>
      </c>
      <c r="Q32" s="5">
        <v>0.14962878718253034</v>
      </c>
      <c r="R32" s="6">
        <v>237.50601140084177</v>
      </c>
      <c r="S32" s="3">
        <v>10070.027586206903</v>
      </c>
      <c r="T32" s="8">
        <v>0.12923134928080612</v>
      </c>
      <c r="U32" s="8">
        <v>0.11444187177686133</v>
      </c>
    </row>
    <row r="33" spans="1:21" x14ac:dyDescent="0.3">
      <c r="A33" t="s">
        <v>51</v>
      </c>
      <c r="B33">
        <v>0.75</v>
      </c>
      <c r="C33" t="s">
        <v>24</v>
      </c>
      <c r="D33" t="s">
        <v>43</v>
      </c>
      <c r="E33" t="s">
        <v>26</v>
      </c>
      <c r="F33">
        <v>105840</v>
      </c>
      <c r="G33" s="2">
        <v>0.57499999999999996</v>
      </c>
      <c r="H33" s="4">
        <v>60.85799999999999</v>
      </c>
      <c r="I33" s="16"/>
      <c r="J33" s="6">
        <v>257.87106446776619</v>
      </c>
      <c r="K33" s="3">
        <v>15693.51724137931</v>
      </c>
      <c r="L33" s="3">
        <v>18832.224137931033</v>
      </c>
      <c r="M33" s="3">
        <v>12411.034482758621</v>
      </c>
      <c r="N33" s="3">
        <v>1813.2620689655173</v>
      </c>
      <c r="O33" s="3">
        <v>369.90689655172417</v>
      </c>
      <c r="P33" s="3">
        <v>14594.203448275863</v>
      </c>
      <c r="Q33" s="5">
        <v>0.13788929939792011</v>
      </c>
      <c r="R33" s="6">
        <v>239.80747721377412</v>
      </c>
      <c r="S33" s="3">
        <v>1099.3137931034464</v>
      </c>
      <c r="T33" s="8">
        <v>7.5325371268091898E-2</v>
      </c>
      <c r="U33" s="8">
        <v>7.0048911037283015E-2</v>
      </c>
    </row>
    <row r="34" spans="1:21" x14ac:dyDescent="0.3">
      <c r="A34" s="14" t="s">
        <v>80</v>
      </c>
      <c r="B34">
        <v>0.75</v>
      </c>
      <c r="C34" t="s">
        <v>28</v>
      </c>
      <c r="D34" t="s">
        <v>43</v>
      </c>
      <c r="E34" t="s">
        <v>26</v>
      </c>
      <c r="F34">
        <v>304200</v>
      </c>
      <c r="G34" s="2">
        <v>0.7</v>
      </c>
      <c r="H34" s="4">
        <v>212.94</v>
      </c>
      <c r="I34" s="5">
        <v>0.19655172413793101</v>
      </c>
      <c r="J34" s="6">
        <v>280.78817733990149</v>
      </c>
      <c r="K34" s="3">
        <v>59791.034482758623</v>
      </c>
      <c r="L34" s="3">
        <v>71749.241379310348</v>
      </c>
      <c r="M34" s="3">
        <v>52159.348275862067</v>
      </c>
      <c r="N34" s="3">
        <v>6344.5379310344833</v>
      </c>
      <c r="O34" s="3">
        <v>1294.3068965517241</v>
      </c>
      <c r="P34" s="3">
        <v>59798.19310344827</v>
      </c>
      <c r="Q34" s="5">
        <v>0.19657525675032306</v>
      </c>
      <c r="R34" s="6">
        <v>280.82179535760434</v>
      </c>
      <c r="S34" s="3">
        <v>-7.1586206896483482</v>
      </c>
      <c r="T34" s="8">
        <v>-1.1971299328834645E-4</v>
      </c>
      <c r="U34" s="8">
        <v>-1.1972732620494487E-4</v>
      </c>
    </row>
    <row r="35" spans="1:21" x14ac:dyDescent="0.3">
      <c r="A35" t="s">
        <v>58</v>
      </c>
      <c r="B35">
        <v>0.75</v>
      </c>
      <c r="C35" t="s">
        <v>24</v>
      </c>
      <c r="D35" t="s">
        <v>43</v>
      </c>
      <c r="E35" t="s">
        <v>26</v>
      </c>
      <c r="F35">
        <v>82800</v>
      </c>
      <c r="G35" s="2">
        <v>0.7</v>
      </c>
      <c r="H35" s="4">
        <v>57.959999999999994</v>
      </c>
      <c r="I35" s="5">
        <v>0.19655172413793101</v>
      </c>
      <c r="J35" s="6">
        <v>280.78817733990149</v>
      </c>
      <c r="K35" s="3">
        <v>16274.48275862069</v>
      </c>
      <c r="L35" s="3">
        <v>19529.379310344826</v>
      </c>
      <c r="M35" s="3">
        <v>11945.603448275862</v>
      </c>
      <c r="N35" s="3">
        <v>1726.9172413793106</v>
      </c>
      <c r="O35" s="3">
        <v>352.29310344827587</v>
      </c>
      <c r="P35" s="3">
        <v>14024.813793103449</v>
      </c>
      <c r="Q35" s="5">
        <v>0.16938180909545228</v>
      </c>
      <c r="R35" s="6">
        <v>241.97401299350329</v>
      </c>
      <c r="S35" s="3">
        <v>2249.6689655172418</v>
      </c>
      <c r="T35" s="8">
        <v>0.16040633399521442</v>
      </c>
      <c r="U35" s="11"/>
    </row>
    <row r="36" spans="1:21" x14ac:dyDescent="0.3">
      <c r="A36" t="s">
        <v>52</v>
      </c>
      <c r="B36">
        <v>0.75</v>
      </c>
      <c r="C36" t="s">
        <v>24</v>
      </c>
      <c r="D36" t="s">
        <v>43</v>
      </c>
      <c r="E36" s="13"/>
      <c r="F36">
        <v>17550</v>
      </c>
      <c r="G36" s="2">
        <v>0.47199999999999998</v>
      </c>
      <c r="H36" s="4">
        <v>8.2835999999999999</v>
      </c>
      <c r="I36" s="5">
        <v>0.12758620689655173</v>
      </c>
      <c r="J36" s="6">
        <v>270.30976037405026</v>
      </c>
      <c r="K36" s="3">
        <v>2239.1379310344828</v>
      </c>
      <c r="L36" s="3">
        <v>2686.9655172413795</v>
      </c>
      <c r="M36" s="3">
        <v>1822.8068965517243</v>
      </c>
      <c r="N36" s="3">
        <v>246.81034482758622</v>
      </c>
      <c r="O36" s="3">
        <v>50.348275862068967</v>
      </c>
      <c r="P36" s="3">
        <v>2119.9655172413795</v>
      </c>
      <c r="Q36" s="5">
        <v>0.12079575596816977</v>
      </c>
      <c r="R36" s="6">
        <v>255.92321179696984</v>
      </c>
      <c r="S36" s="3">
        <v>119.17241379310326</v>
      </c>
      <c r="T36" s="8">
        <v>5.6214317083882206E-2</v>
      </c>
      <c r="U36" s="11"/>
    </row>
    <row r="37" spans="1:21" x14ac:dyDescent="0.3">
      <c r="A37" t="s">
        <v>23</v>
      </c>
      <c r="B37">
        <v>0.7</v>
      </c>
      <c r="C37" t="s">
        <v>28</v>
      </c>
      <c r="D37" s="14" t="s">
        <v>76</v>
      </c>
      <c r="E37" t="s">
        <v>26</v>
      </c>
      <c r="F37">
        <v>74880</v>
      </c>
      <c r="G37" s="2">
        <v>0.45</v>
      </c>
      <c r="H37" s="4">
        <v>33.695999999999998</v>
      </c>
      <c r="I37" s="16"/>
      <c r="J37" s="6">
        <v>275.86206896551727</v>
      </c>
      <c r="K37" s="3">
        <v>9295.4482758620688</v>
      </c>
      <c r="L37" s="3">
        <v>11154.537931034483</v>
      </c>
      <c r="M37" s="3">
        <v>7953.5724137931038</v>
      </c>
      <c r="N37" s="3">
        <v>1003.9655172413793</v>
      </c>
      <c r="O37" s="3">
        <v>204.80689655172415</v>
      </c>
      <c r="P37" s="3">
        <v>9162.3448275862065</v>
      </c>
      <c r="Q37" s="5">
        <v>0.12236037430002948</v>
      </c>
      <c r="R37" s="6">
        <v>271.9119428889544</v>
      </c>
      <c r="S37" s="3">
        <v>133.10344827586206</v>
      </c>
      <c r="T37" s="8">
        <v>1.452722537522393E-2</v>
      </c>
      <c r="U37" s="11"/>
    </row>
    <row r="38" spans="1:21" x14ac:dyDescent="0.3">
      <c r="A38" t="s">
        <v>53</v>
      </c>
      <c r="B38">
        <v>0.7</v>
      </c>
      <c r="C38" t="s">
        <v>24</v>
      </c>
      <c r="D38" t="s">
        <v>43</v>
      </c>
      <c r="E38" t="s">
        <v>26</v>
      </c>
      <c r="F38">
        <v>146250</v>
      </c>
      <c r="G38" s="2">
        <v>0.57999999999999996</v>
      </c>
      <c r="H38" s="4">
        <v>84.825000000000003</v>
      </c>
      <c r="I38" s="16"/>
      <c r="J38" s="6">
        <v>255.64803804994054</v>
      </c>
      <c r="K38" s="3">
        <v>21685.344827586207</v>
      </c>
      <c r="L38" s="3">
        <v>26022.413793103449</v>
      </c>
      <c r="M38" s="3">
        <v>16832.844827586207</v>
      </c>
      <c r="N38" s="3">
        <v>2527.344827586207</v>
      </c>
      <c r="O38" s="3">
        <v>515.58620689655174</v>
      </c>
      <c r="P38" s="3">
        <v>19875.775862068967</v>
      </c>
      <c r="Q38" s="5">
        <v>0.13590274093722368</v>
      </c>
      <c r="R38" s="6">
        <v>234.31507058142017</v>
      </c>
      <c r="S38" s="3">
        <v>1809.5689655172414</v>
      </c>
      <c r="T38" s="8">
        <v>9.1043941030278588E-2</v>
      </c>
      <c r="U38" s="11"/>
    </row>
    <row r="39" spans="1:21" x14ac:dyDescent="0.3">
      <c r="A39" t="s">
        <v>54</v>
      </c>
      <c r="B39">
        <v>0.7</v>
      </c>
      <c r="C39" t="s">
        <v>28</v>
      </c>
      <c r="D39" t="s">
        <v>43</v>
      </c>
      <c r="E39" t="s">
        <v>26</v>
      </c>
      <c r="F39">
        <v>135373</v>
      </c>
      <c r="G39" s="2">
        <v>0.438</v>
      </c>
      <c r="H39" s="4">
        <v>59.293374</v>
      </c>
      <c r="I39" s="16"/>
      <c r="J39" s="6">
        <v>251.92883010549519</v>
      </c>
      <c r="K39" s="3">
        <v>14937.710344827587</v>
      </c>
      <c r="L39" s="3">
        <v>17925.251724137932</v>
      </c>
      <c r="M39" s="3">
        <v>13303.796551724139</v>
      </c>
      <c r="N39" s="3">
        <v>1766.641379310345</v>
      </c>
      <c r="O39" s="3">
        <v>360.39310344827589</v>
      </c>
      <c r="P39" s="3">
        <v>15430.831034482761</v>
      </c>
      <c r="Q39" s="5">
        <v>0.11398750884210854</v>
      </c>
      <c r="R39" s="6">
        <v>260.24545397741679</v>
      </c>
      <c r="S39" s="3">
        <v>-493.12068965517341</v>
      </c>
      <c r="T39" s="8">
        <v>-3.1956845911488056E-2</v>
      </c>
      <c r="U39" s="11"/>
    </row>
    <row r="40" spans="1:21" x14ac:dyDescent="0.3">
      <c r="A40" s="10" t="s">
        <v>55</v>
      </c>
      <c r="B40">
        <v>0.7</v>
      </c>
      <c r="C40" t="s">
        <v>24</v>
      </c>
      <c r="D40" t="s">
        <v>43</v>
      </c>
      <c r="E40" t="s">
        <v>26</v>
      </c>
      <c r="F40">
        <v>536599</v>
      </c>
      <c r="G40" s="2">
        <v>0.438</v>
      </c>
      <c r="H40" s="4">
        <v>235.030362</v>
      </c>
      <c r="I40" s="5">
        <v>0.11034482758620691</v>
      </c>
      <c r="J40" s="6">
        <v>251.92883010549519</v>
      </c>
      <c r="K40" s="3">
        <v>59210.924137931033</v>
      </c>
      <c r="L40" s="3">
        <v>71053.100000000006</v>
      </c>
      <c r="M40" s="3">
        <v>45073</v>
      </c>
      <c r="N40" s="3">
        <v>7002.7000000000007</v>
      </c>
      <c r="O40" s="3">
        <v>1428.5620689655173</v>
      </c>
      <c r="P40" s="3">
        <v>53504.262068965516</v>
      </c>
      <c r="Q40" s="5">
        <v>9.9709954861946282E-2</v>
      </c>
      <c r="R40" s="6">
        <v>227.64829877156689</v>
      </c>
      <c r="S40" s="3">
        <v>5706.6620689655201</v>
      </c>
      <c r="T40" s="8">
        <v>0.10665808382909366</v>
      </c>
      <c r="U40" s="8">
        <v>9.6378534063611798E-2</v>
      </c>
    </row>
    <row r="41" spans="1:21" x14ac:dyDescent="0.3">
      <c r="A41" t="s">
        <v>56</v>
      </c>
      <c r="B41">
        <v>0.7</v>
      </c>
      <c r="C41" s="14" t="s">
        <v>72</v>
      </c>
      <c r="D41" t="s">
        <v>43</v>
      </c>
      <c r="E41" t="s">
        <v>26</v>
      </c>
      <c r="F41">
        <v>37440</v>
      </c>
      <c r="G41" s="2">
        <v>0.45</v>
      </c>
      <c r="H41" s="4">
        <v>16.847999999999999</v>
      </c>
      <c r="I41" s="5">
        <v>0.12413793103448276</v>
      </c>
      <c r="J41" s="6">
        <v>275.86206896551727</v>
      </c>
      <c r="K41" s="3">
        <v>4647.7241379310344</v>
      </c>
      <c r="L41" s="3">
        <v>5577.2689655172417</v>
      </c>
      <c r="M41" s="3">
        <v>3558.4172413793103</v>
      </c>
      <c r="N41" s="3">
        <v>501.98275862068965</v>
      </c>
      <c r="O41" s="3">
        <v>102.40344827586208</v>
      </c>
      <c r="P41" s="3">
        <v>4162.8034482758621</v>
      </c>
      <c r="Q41" s="5">
        <v>0.11118598953728263</v>
      </c>
      <c r="R41" s="6">
        <v>247.07997674951696</v>
      </c>
      <c r="S41" s="3">
        <v>484.92068965517257</v>
      </c>
      <c r="T41" s="8">
        <v>0.11648897087755024</v>
      </c>
      <c r="U41" s="8">
        <v>0.10433508428300098</v>
      </c>
    </row>
    <row r="42" spans="1:21" x14ac:dyDescent="0.3">
      <c r="A42" t="s">
        <v>57</v>
      </c>
      <c r="B42">
        <v>0.7</v>
      </c>
      <c r="C42" t="s">
        <v>24</v>
      </c>
      <c r="D42" t="s">
        <v>43</v>
      </c>
      <c r="E42" t="s">
        <v>26</v>
      </c>
      <c r="F42">
        <v>31140</v>
      </c>
      <c r="G42" s="2">
        <v>0.5</v>
      </c>
      <c r="H42" s="4">
        <v>15.57</v>
      </c>
      <c r="I42" s="5">
        <v>0.14137931034482759</v>
      </c>
      <c r="J42" s="6">
        <v>282.75862068965517</v>
      </c>
      <c r="K42" s="3">
        <v>4402.5517241379312</v>
      </c>
      <c r="L42" s="3">
        <v>5283.062068965517</v>
      </c>
      <c r="M42" s="3">
        <v>3541.1241379310345</v>
      </c>
      <c r="N42" s="3">
        <v>463.90689655172412</v>
      </c>
      <c r="O42" s="3">
        <v>94.637931034482762</v>
      </c>
      <c r="P42" s="3">
        <v>4099.6689655172422</v>
      </c>
      <c r="Q42" s="5">
        <v>0.1316528248399885</v>
      </c>
      <c r="R42" s="6">
        <v>263.30564967997697</v>
      </c>
      <c r="S42" s="3">
        <v>302.88275862068923</v>
      </c>
      <c r="T42" s="8">
        <v>7.387980863046964E-2</v>
      </c>
      <c r="U42" s="8">
        <v>6.8797092595203307E-2</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2"/>
  <sheetViews>
    <sheetView topLeftCell="A21" zoomScale="84" zoomScaleNormal="84" workbookViewId="0">
      <selection activeCell="A26" sqref="A26"/>
    </sheetView>
  </sheetViews>
  <sheetFormatPr defaultRowHeight="14.4" x14ac:dyDescent="0.3"/>
  <cols>
    <col min="1" max="1" width="21.44140625" customWidth="1"/>
    <col min="2" max="2" width="10.88671875" customWidth="1"/>
    <col min="3" max="3" width="12" customWidth="1"/>
    <col min="4" max="4" width="12.77734375" customWidth="1"/>
    <col min="5" max="5" width="9.77734375" customWidth="1"/>
    <col min="6" max="21" width="12.77734375" customWidth="1"/>
  </cols>
  <sheetData>
    <row r="1" spans="1:21" s="9" customFormat="1" ht="36" customHeight="1" x14ac:dyDescent="0.3">
      <c r="A1" s="1" t="s">
        <v>2</v>
      </c>
      <c r="B1" s="1" t="s">
        <v>3</v>
      </c>
      <c r="C1" s="1" t="s">
        <v>4</v>
      </c>
      <c r="D1" s="1" t="s">
        <v>5</v>
      </c>
      <c r="E1" s="1" t="s">
        <v>6</v>
      </c>
      <c r="F1" s="1" t="s">
        <v>7</v>
      </c>
      <c r="G1" s="1" t="s">
        <v>8</v>
      </c>
      <c r="H1" s="1" t="s">
        <v>9</v>
      </c>
      <c r="I1" s="1" t="s">
        <v>60</v>
      </c>
      <c r="J1" s="1" t="s">
        <v>61</v>
      </c>
      <c r="K1" s="1" t="s">
        <v>62</v>
      </c>
      <c r="L1" s="1" t="s">
        <v>63</v>
      </c>
      <c r="M1" s="1" t="s">
        <v>64</v>
      </c>
      <c r="N1" s="1" t="s">
        <v>65</v>
      </c>
      <c r="O1" s="1" t="s">
        <v>66</v>
      </c>
      <c r="P1" s="1" t="s">
        <v>67</v>
      </c>
      <c r="Q1" s="1" t="s">
        <v>68</v>
      </c>
      <c r="R1" s="1" t="s">
        <v>69</v>
      </c>
      <c r="S1" s="1" t="s">
        <v>70</v>
      </c>
      <c r="T1" s="1" t="s">
        <v>21</v>
      </c>
      <c r="U1" s="1" t="s">
        <v>22</v>
      </c>
    </row>
    <row r="2" spans="1:21" x14ac:dyDescent="0.3">
      <c r="A2" t="s">
        <v>23</v>
      </c>
      <c r="B2" s="15" t="str">
        <f>SUBSTITUTE(TRIM(CLEAN('Raw Data'!B2))," ","")</f>
        <v>0.7</v>
      </c>
      <c r="C2" t="str">
        <f>SUBSTITUTE(TRIM(CLEAN('Raw Data'!C2))," ","")</f>
        <v>Colored</v>
      </c>
      <c r="D2" t="str">
        <f>SUBSTITUTE(TRIM(CLEAN('Raw Data'!D2))," ","")</f>
        <v>Azerbaijan</v>
      </c>
      <c r="E2" t="str">
        <f>'Raw Data'!E2</f>
        <v>pcs</v>
      </c>
      <c r="F2">
        <f>'Raw Data'!F2</f>
        <v>34560</v>
      </c>
      <c r="G2">
        <f>'Raw Data'!G2</f>
        <v>0.45</v>
      </c>
      <c r="H2" s="4">
        <f>IF(ISBLANK('Raw Data'!H2),Table3[[#This Row],[Quantity Sold]]*Table3[[#This Row],[Unit Weight (kg)]]/1000,Table2[[#This Row],[Total Weight (tons)]])</f>
        <v>15.552</v>
      </c>
      <c r="I2" s="5">
        <f>IF(ISBLANK('Raw Data'!I2),Table3[[#This Row],[Net Revenue, excl. VAT (USD)]]/Table3[[#This Row],[Quantity Sold]],Table2[[#This Row],[Average Selling Price per Unit (USD)]])</f>
        <v>0.12430066650702427</v>
      </c>
      <c r="J2" s="6">
        <f>'Raw Data'!J2</f>
        <v>276.22370334894282</v>
      </c>
      <c r="K2" s="3">
        <f>'Raw Data'!K2</f>
        <v>4295.8310344827587</v>
      </c>
      <c r="L2" s="3">
        <f>'Raw Data'!L2</f>
        <v>4295.8310344827587</v>
      </c>
      <c r="M2" s="3">
        <f>'Raw Data'!M2</f>
        <v>3310.2000000000003</v>
      </c>
      <c r="N2" s="3">
        <f>'Raw Data'!N2</f>
        <v>463.36896551724141</v>
      </c>
      <c r="O2" s="3">
        <f>'Raw Data'!O2</f>
        <v>94.527586206896558</v>
      </c>
      <c r="P2" s="3">
        <f>'Raw Data'!P2</f>
        <v>3868.096551724138</v>
      </c>
      <c r="Q2" s="5">
        <f>'Raw Data'!Q2</f>
        <v>0.11192409003831418</v>
      </c>
      <c r="R2" s="6">
        <f>'Raw Data'!R2</f>
        <v>248.72020008514264</v>
      </c>
      <c r="S2" s="3">
        <f>'Raw Data'!S2</f>
        <v>427.7344827586208</v>
      </c>
      <c r="T2" s="7">
        <f>IF(ISBLANK('Raw Data'!T2),Table3[[#This Row],[Operating Profit (USD)]]/Table3[[#This Row],[Total Cost (USD)]],Table2[[#This Row],[Product Profitability (%)]])</f>
        <v>0.11058009463801143</v>
      </c>
      <c r="U2" s="7">
        <f>IF(ISBLANK('Raw Data'!U2),Table3[[#This Row],[Operating Profit (USD)]]/Table3[[#This Row],[Net Revenue, excl. VAT (USD)]],Table2[[#This Row],[Profit Margin (%)]])</f>
        <v>9.9569670996178361E-2</v>
      </c>
    </row>
    <row r="3" spans="1:21" x14ac:dyDescent="0.3">
      <c r="A3" t="s">
        <v>27</v>
      </c>
      <c r="B3" s="15" t="str">
        <f>SUBSTITUTE(TRIM(CLEAN('Raw Data'!B3))," ","")</f>
        <v>0.75</v>
      </c>
      <c r="C3" t="str">
        <f>SUBSTITUTE(TRIM(CLEAN('Raw Data'!C3))," ","")</f>
        <v>Clear</v>
      </c>
      <c r="D3" t="str">
        <f>SUBSTITUTE(TRIM(CLEAN('Raw Data'!D3))," ","")</f>
        <v>Lithuania</v>
      </c>
      <c r="E3" t="str">
        <f>IF(ISBLANK('Raw Data'!E3),E2,Table2[[#This Row],[Unit of Measure]])</f>
        <v>pcs</v>
      </c>
      <c r="F3">
        <f>'Raw Data'!F3</f>
        <v>163800</v>
      </c>
      <c r="G3">
        <f>'Raw Data'!G3</f>
        <v>0.7</v>
      </c>
      <c r="H3" s="4">
        <f>IF(ISBLANK('Raw Data'!H3),Table3[[#This Row],[Quantity Sold]]*Table3[[#This Row],[Unit Weight (kg)]]/1000,Table2[[#This Row],[Total Weight (tons)]])</f>
        <v>114.66</v>
      </c>
      <c r="I3" s="5">
        <f>IF(ISBLANK('Raw Data'!I3),Table3[[#This Row],[Net Revenue, excl. VAT (USD)]]/Table3[[#This Row],[Quantity Sold]],Table2[[#This Row],[Average Selling Price per Unit (USD)]])</f>
        <v>0.2164876005220833</v>
      </c>
      <c r="J3" s="6">
        <f>'Raw Data'!J3</f>
        <v>309.26800074583332</v>
      </c>
      <c r="K3" s="3">
        <f>'Raw Data'!K3</f>
        <v>35460.668965517245</v>
      </c>
      <c r="L3" s="3">
        <f>'Raw Data'!L3</f>
        <v>35460.668965517245</v>
      </c>
      <c r="M3" s="3">
        <f>'Raw Data'!M3</f>
        <v>28085.800000000003</v>
      </c>
      <c r="N3" s="3">
        <f>'Raw Data'!N3</f>
        <v>3416.2896551724139</v>
      </c>
      <c r="O3" s="3">
        <f>'Raw Data'!O3</f>
        <v>696.93448275862067</v>
      </c>
      <c r="P3" s="3">
        <f>'Raw Data'!P3</f>
        <v>32199.024137931039</v>
      </c>
      <c r="Q3" s="5">
        <f>'Raw Data'!Q3</f>
        <v>0.19657523893730794</v>
      </c>
      <c r="R3" s="6">
        <f>'Raw Data'!R3</f>
        <v>280.82176991043991</v>
      </c>
      <c r="S3" s="3">
        <f>'Raw Data'!S3</f>
        <v>3261.6448275862035</v>
      </c>
      <c r="T3" s="7">
        <f>IF(ISBLANK('Raw Data'!T3),Table3[[#This Row],[Operating Profit (USD)]]/Table3[[#This Row],[Total Cost (USD)]],Table2[[#This Row],[Product Profitability (%)]])</f>
        <v>0.10129638754312204</v>
      </c>
      <c r="U3" s="7">
        <f>IF(ISBLANK('Raw Data'!U3),Table3[[#This Row],[Operating Profit (USD)]]/Table3[[#This Row],[Net Revenue, excl. VAT (USD)]],Table2[[#This Row],[Profit Margin (%)]])</f>
        <v>9.197922438400416E-2</v>
      </c>
    </row>
    <row r="4" spans="1:21" x14ac:dyDescent="0.3">
      <c r="A4" t="s">
        <v>30</v>
      </c>
      <c r="B4" s="15" t="str">
        <f>SUBSTITUTE(TRIM(CLEAN('Raw Data'!B4))," ","")</f>
        <v>0.5</v>
      </c>
      <c r="C4" t="str">
        <f>SUBSTITUTE(TRIM(CLEAN('Raw Data'!C4))," ","")</f>
        <v>Colored</v>
      </c>
      <c r="D4" t="str">
        <f>SUBSTITUTE(TRIM(CLEAN('Raw Data'!D4))," ","")</f>
        <v>Russia</v>
      </c>
      <c r="E4" t="str">
        <f>IF(ISBLANK('Raw Data'!E4),E3,Table2[[#This Row],[Unit of Measure]])</f>
        <v>pcs</v>
      </c>
      <c r="F4">
        <f>'Raw Data'!F4</f>
        <v>152364</v>
      </c>
      <c r="G4">
        <f>'Raw Data'!G4</f>
        <v>0.33</v>
      </c>
      <c r="H4" s="4">
        <f>IF(ISBLANK('Raw Data'!H4),Table3[[#This Row],[Quantity Sold]]*Table3[[#This Row],[Unit Weight (kg)]]/1000,Table2[[#This Row],[Total Weight (tons)]])</f>
        <v>50.280120000000004</v>
      </c>
      <c r="I4" s="5">
        <f>IF(ISBLANK('Raw Data'!I4),Table3[[#This Row],[Net Revenue, excl. VAT (USD)]]/Table3[[#This Row],[Quantity Sold]],Table2[[#This Row],[Average Selling Price per Unit (USD)]])</f>
        <v>8.793103448275863E-2</v>
      </c>
      <c r="J4" s="6">
        <f>'Raw Data'!J4</f>
        <v>266.45768025078365</v>
      </c>
      <c r="K4" s="3">
        <f>'Raw Data'!K4</f>
        <v>13397.524137931036</v>
      </c>
      <c r="L4" s="3">
        <f>'Raw Data'!L4</f>
        <v>13397.524137931036</v>
      </c>
      <c r="M4" s="3">
        <f>'Raw Data'!M4</f>
        <v>11977.557710958223</v>
      </c>
      <c r="N4" s="3">
        <f>'Raw Data'!N4</f>
        <v>1616.9702909793602</v>
      </c>
      <c r="O4" s="3">
        <f>'Raw Data'!O4</f>
        <v>359.32673132874669</v>
      </c>
      <c r="P4" s="3">
        <f>'Raw Data'!P4</f>
        <v>13953.854733266331</v>
      </c>
      <c r="Q4" s="5">
        <f>'Raw Data'!Q4</f>
        <v>9.1582360224635284E-2</v>
      </c>
      <c r="R4" s="6">
        <f>'Raw Data'!R4</f>
        <v>277.52230371101604</v>
      </c>
      <c r="S4" s="3">
        <f>'Raw Data'!S4</f>
        <v>-556.33059533529695</v>
      </c>
      <c r="T4" s="7">
        <f>IF(ISBLANK('Raw Data'!T4),Table3[[#This Row],[Operating Profit (USD)]]/Table3[[#This Row],[Total Cost (USD)]],Table2[[#This Row],[Product Profitability (%)]])</f>
        <v>-3.986931252831457E-2</v>
      </c>
      <c r="U4" s="7">
        <f>IF(ISBLANK('Raw Data'!U4),Table3[[#This Row],[Operating Profit (USD)]]/Table3[[#This Row],[Net Revenue, excl. VAT (USD)]],Table2[[#This Row],[Profit Margin (%)]])</f>
        <v>-4.1524880986048403E-2</v>
      </c>
    </row>
    <row r="5" spans="1:21" x14ac:dyDescent="0.3">
      <c r="A5" t="s">
        <v>23</v>
      </c>
      <c r="B5" s="15" t="str">
        <f>SUBSTITUTE(TRIM(CLEAN('Raw Data'!B5))," ","")</f>
        <v>0.7</v>
      </c>
      <c r="C5" t="str">
        <f>SUBSTITUTE(TRIM(CLEAN('Raw Data'!C5))," ","")</f>
        <v>Colored</v>
      </c>
      <c r="D5" t="str">
        <f>SUBSTITUTE(TRIM(CLEAN('Raw Data'!D5))," ","")</f>
        <v>Russia</v>
      </c>
      <c r="E5" t="str">
        <f>IF(ISBLANK('Raw Data'!E5),E4,Table2[[#This Row],[Unit of Measure]])</f>
        <v>pcs</v>
      </c>
      <c r="F5">
        <f>'Raw Data'!F5</f>
        <v>256980</v>
      </c>
      <c r="G5">
        <f>'Raw Data'!G5</f>
        <v>0.45</v>
      </c>
      <c r="H5" s="4">
        <f>IF(ISBLANK('Raw Data'!H5),Table3[[#This Row],[Quantity Sold]]*Table3[[#This Row],[Unit Weight (kg)]]/1000,Table2[[#This Row],[Total Weight (tons)]])</f>
        <v>115.64100000000001</v>
      </c>
      <c r="I5" s="5">
        <f>IF(ISBLANK('Raw Data'!I5),Table3[[#This Row],[Net Revenue, excl. VAT (USD)]]/Table3[[#This Row],[Quantity Sold]],Table2[[#This Row],[Average Selling Price per Unit (USD)]])</f>
        <v>0.12413793103448276</v>
      </c>
      <c r="J5" s="6">
        <f>'Raw Data'!J5</f>
        <v>275.86206896551727</v>
      </c>
      <c r="K5" s="3">
        <f>'Raw Data'!K5</f>
        <v>31900.96551724138</v>
      </c>
      <c r="L5" s="3">
        <f>'Raw Data'!L5</f>
        <v>31900.96551724138</v>
      </c>
      <c r="M5" s="3">
        <f>'Raw Data'!M5</f>
        <v>24613.85345034318</v>
      </c>
      <c r="N5" s="3">
        <f>'Raw Data'!N5</f>
        <v>3322.8702157963294</v>
      </c>
      <c r="O5" s="3">
        <f>'Raw Data'!O5</f>
        <v>738.41560351029534</v>
      </c>
      <c r="P5" s="3">
        <f>'Raw Data'!P5</f>
        <v>28675.139269649804</v>
      </c>
      <c r="Q5" s="5">
        <f>'Raw Data'!Q5</f>
        <v>0.11158510105708538</v>
      </c>
      <c r="R5" s="6">
        <f>'Raw Data'!R5</f>
        <v>247.96689123796753</v>
      </c>
      <c r="S5" s="3">
        <f>'Raw Data'!S5</f>
        <v>3225.8262475915776</v>
      </c>
      <c r="T5" s="7">
        <f>IF(ISBLANK('Raw Data'!T5),Table3[[#This Row],[Operating Profit (USD)]]/Table3[[#This Row],[Total Cost (USD)]],Table2[[#This Row],[Product Profitability (%)]])</f>
        <v>0.11249557385779954</v>
      </c>
      <c r="U5" s="7">
        <f>IF(ISBLANK('Raw Data'!U5),Table3[[#This Row],[Operating Profit (USD)]]/Table3[[#This Row],[Net Revenue, excl. VAT (USD)]],Table2[[#This Row],[Profit Margin (%)]])</f>
        <v>0.10112001926236774</v>
      </c>
    </row>
    <row r="6" spans="1:21" x14ac:dyDescent="0.3">
      <c r="A6" s="10" t="s">
        <v>32</v>
      </c>
      <c r="B6" s="15" t="str">
        <f>SUBSTITUTE(TRIM(CLEAN('Raw Data'!B6))," ","")</f>
        <v>0.375</v>
      </c>
      <c r="C6" t="str">
        <f>SUBSTITUTE(TRIM(CLEAN('Raw Data'!C6))," ","")</f>
        <v>Colored</v>
      </c>
      <c r="D6" t="str">
        <f>SUBSTITUTE(TRIM(CLEAN('Raw Data'!D6))," ","")</f>
        <v>Russia</v>
      </c>
      <c r="E6" t="str">
        <f>IF(ISBLANK('Raw Data'!E6),E5,Table2[[#This Row],[Unit of Measure]])</f>
        <v>pcs</v>
      </c>
      <c r="F6">
        <f>'Raw Data'!F6</f>
        <v>25630</v>
      </c>
      <c r="G6">
        <f>'Raw Data'!G6</f>
        <v>0.45700000000000002</v>
      </c>
      <c r="H6" s="4">
        <f>IF(ISBLANK('Raw Data'!H6),Table3[[#This Row],[Quantity Sold]]*Table3[[#This Row],[Unit Weight (kg)]]/1000,Table2[[#This Row],[Total Weight (tons)]])</f>
        <v>11.712909999999999</v>
      </c>
      <c r="I6" s="5">
        <f>IF(ISBLANK('Raw Data'!I6),Table3[[#This Row],[Net Revenue, excl. VAT (USD)]]/Table3[[#This Row],[Quantity Sold]],Table2[[#This Row],[Average Selling Price per Unit (USD)]])</f>
        <v>0.14137931034482759</v>
      </c>
      <c r="J6" s="6">
        <f>'Raw Data'!J6</f>
        <v>309.36391760356145</v>
      </c>
      <c r="K6" s="3">
        <f>'Raw Data'!K6</f>
        <v>3623.5517241379307</v>
      </c>
      <c r="L6" s="3">
        <f>'Raw Data'!L6</f>
        <v>3623.5517241379307</v>
      </c>
      <c r="M6" s="3">
        <f>'Raw Data'!M6</f>
        <v>2479.4665390519021</v>
      </c>
      <c r="N6" s="3">
        <f>'Raw Data'!N6</f>
        <v>334.72798277200684</v>
      </c>
      <c r="O6" s="3">
        <f>'Raw Data'!O6</f>
        <v>74.383996171557058</v>
      </c>
      <c r="P6" s="3">
        <f>'Raw Data'!P6</f>
        <v>2888.5785179954664</v>
      </c>
      <c r="Q6" s="5">
        <f>'Raw Data'!Q6</f>
        <v>0.11270302450235919</v>
      </c>
      <c r="R6" s="6">
        <f>'Raw Data'!R6</f>
        <v>246.61493326555623</v>
      </c>
      <c r="S6" s="3">
        <f>'Raw Data'!S6</f>
        <v>734.97320614246462</v>
      </c>
      <c r="T6" s="7">
        <f>IF(ISBLANK('Raw Data'!T6),Table3[[#This Row],[Operating Profit (USD)]]/Table3[[#This Row],[Total Cost (USD)]],Table2[[#This Row],[Product Profitability (%)]])</f>
        <v>0.25444113828434217</v>
      </c>
      <c r="U6" s="7">
        <f>IF(ISBLANK('Raw Data'!U6),Table3[[#This Row],[Operating Profit (USD)]]/Table3[[#This Row],[Net Revenue, excl. VAT (USD)]],Table2[[#This Row],[Profit Margin (%)]])</f>
        <v>0.20283226571502028</v>
      </c>
    </row>
    <row r="7" spans="1:21" x14ac:dyDescent="0.3">
      <c r="A7" s="10" t="s">
        <v>33</v>
      </c>
      <c r="B7" s="15" t="str">
        <f>SUBSTITUTE(TRIM(CLEAN('Raw Data'!B7))," ","")</f>
        <v>0.568</v>
      </c>
      <c r="C7" t="str">
        <f>SUBSTITUTE(TRIM(CLEAN('Raw Data'!C7))," ","")</f>
        <v>Colored</v>
      </c>
      <c r="D7" t="str">
        <f>SUBSTITUTE(TRIM(CLEAN('Raw Data'!D7))," ","")</f>
        <v>Russia</v>
      </c>
      <c r="E7" t="str">
        <f>IF(ISBLANK('Raw Data'!E7),E6,Table2[[#This Row],[Unit of Measure]])</f>
        <v>pcs</v>
      </c>
      <c r="F7">
        <f>'Raw Data'!F7</f>
        <v>24960</v>
      </c>
      <c r="G7">
        <f>'Raw Data'!G7</f>
        <v>0.37</v>
      </c>
      <c r="H7" s="4">
        <f>IF(ISBLANK('Raw Data'!H7),Table3[[#This Row],[Quantity Sold]]*Table3[[#This Row],[Unit Weight (kg)]]/1000,Table2[[#This Row],[Total Weight (tons)]])</f>
        <v>9.2352000000000007</v>
      </c>
      <c r="I7" s="5">
        <f>IF(ISBLANK('Raw Data'!I7),Table3[[#This Row],[Net Revenue, excl. VAT (USD)]]/Table3[[#This Row],[Quantity Sold]],Table2[[#This Row],[Average Selling Price per Unit (USD)]])</f>
        <v>9.4484969053934581E-2</v>
      </c>
      <c r="J7" s="6">
        <f>'Raw Data'!J7</f>
        <v>255.3647812268502</v>
      </c>
      <c r="K7" s="3">
        <f>'Raw Data'!K7</f>
        <v>2358.344827586207</v>
      </c>
      <c r="L7" s="3">
        <f>'Raw Data'!L7</f>
        <v>2358.344827586207</v>
      </c>
      <c r="M7" s="3">
        <f>'Raw Data'!M7</f>
        <v>2110.8945879252205</v>
      </c>
      <c r="N7" s="3">
        <f>'Raw Data'!N7</f>
        <v>284.97076936990481</v>
      </c>
      <c r="O7" s="3">
        <f>'Raw Data'!O7</f>
        <v>63.326837637756618</v>
      </c>
      <c r="P7" s="3">
        <f>'Raw Data'!P7</f>
        <v>2459.1921949328821</v>
      </c>
      <c r="Q7" s="5">
        <f>'Raw Data'!Q7</f>
        <v>9.85253283226315E-2</v>
      </c>
      <c r="R7" s="6">
        <f>'Raw Data'!R7</f>
        <v>266.28467114224725</v>
      </c>
      <c r="S7" s="3">
        <f>'Raw Data'!S7</f>
        <v>-100.84736734667504</v>
      </c>
      <c r="T7" s="7">
        <f>IF(ISBLANK('Raw Data'!T7),Table3[[#This Row],[Operating Profit (USD)]]/Table3[[#This Row],[Total Cost (USD)]],Table2[[#This Row],[Product Profitability (%)]])</f>
        <v>-4.1008330928533808E-2</v>
      </c>
      <c r="U7" s="7">
        <f>IF(ISBLANK('Raw Data'!U7),Table3[[#This Row],[Operating Profit (USD)]]/Table3[[#This Row],[Net Revenue, excl. VAT (USD)]],Table2[[#This Row],[Profit Margin (%)]])</f>
        <v>-4.2761926147116269E-2</v>
      </c>
    </row>
    <row r="8" spans="1:21" x14ac:dyDescent="0.3">
      <c r="A8" t="s">
        <v>34</v>
      </c>
      <c r="B8" s="15" t="str">
        <f>SUBSTITUTE(TRIM(CLEAN('Raw Data'!B8))," ","")</f>
        <v>0.5</v>
      </c>
      <c r="C8" t="str">
        <f>SUBSTITUTE(TRIM(CLEAN('Raw Data'!C8))," ","")</f>
        <v>Clear</v>
      </c>
      <c r="D8" t="str">
        <f>SUBSTITUTE(TRIM(CLEAN('Raw Data'!D8))," ","")</f>
        <v>Russia</v>
      </c>
      <c r="E8" t="str">
        <f>IF(ISBLANK('Raw Data'!E8),E7,Table2[[#This Row],[Unit of Measure]])</f>
        <v>pcs</v>
      </c>
      <c r="F8">
        <f>'Raw Data'!F8</f>
        <v>28900</v>
      </c>
      <c r="G8">
        <f>'Raw Data'!G8</f>
        <v>0.35</v>
      </c>
      <c r="H8" s="4">
        <f>IF(ISBLANK('Raw Data'!H8),Table3[[#This Row],[Quantity Sold]]*Table3[[#This Row],[Unit Weight (kg)]]/1000,Table2[[#This Row],[Total Weight (tons)]])</f>
        <v>10.115</v>
      </c>
      <c r="I8" s="5">
        <f>IF(ISBLANK('Raw Data'!I8),Table3[[#This Row],[Net Revenue, excl. VAT (USD)]]/Table3[[#This Row],[Quantity Sold]],Table2[[#This Row],[Average Selling Price per Unit (USD)]])</f>
        <v>0.10344827586206896</v>
      </c>
      <c r="J8" s="6">
        <f>'Raw Data'!J8</f>
        <v>295.56650246305418</v>
      </c>
      <c r="K8" s="3">
        <f>'Raw Data'!K8</f>
        <v>2989.655172413793</v>
      </c>
      <c r="L8" s="3">
        <f>'Raw Data'!L8</f>
        <v>2989.655172413793</v>
      </c>
      <c r="M8" s="3">
        <f>'Raw Data'!M8</f>
        <v>2453.2717730141626</v>
      </c>
      <c r="N8" s="3">
        <f>'Raw Data'!N8</f>
        <v>331.19168935691192</v>
      </c>
      <c r="O8" s="3">
        <f>'Raw Data'!O8</f>
        <v>73.598153190424867</v>
      </c>
      <c r="P8" s="3">
        <f>'Raw Data'!P8</f>
        <v>2858.0616155614994</v>
      </c>
      <c r="Q8" s="5">
        <f>'Raw Data'!Q8</f>
        <v>9.8894865590363298E-2</v>
      </c>
      <c r="R8" s="6">
        <f>'Raw Data'!R8</f>
        <v>282.55675882960941</v>
      </c>
      <c r="S8" s="3">
        <f>'Raw Data'!S8</f>
        <v>131.59355685229394</v>
      </c>
      <c r="T8" s="7">
        <f>IF(ISBLANK('Raw Data'!T8),Table3[[#This Row],[Operating Profit (USD)]]/Table3[[#This Row],[Total Cost (USD)]],Table2[[#This Row],[Product Profitability (%)]])</f>
        <v>4.60429390800383E-2</v>
      </c>
      <c r="U8" s="7">
        <f>IF(ISBLANK('Raw Data'!U8),Table3[[#This Row],[Operating Profit (USD)]]/Table3[[#This Row],[Net Revenue, excl. VAT (USD)]],Table2[[#This Row],[Profit Margin (%)]])</f>
        <v>4.4016299293154836E-2</v>
      </c>
    </row>
    <row r="9" spans="1:21" x14ac:dyDescent="0.3">
      <c r="A9" t="s">
        <v>35</v>
      </c>
      <c r="B9" s="15" t="str">
        <f>SUBSTITUTE(TRIM(CLEAN('Raw Data'!B9))," ","")</f>
        <v>0.5</v>
      </c>
      <c r="C9" t="str">
        <f>SUBSTITUTE(TRIM(CLEAN('Raw Data'!C9))," ","")</f>
        <v>Colored</v>
      </c>
      <c r="D9" t="str">
        <f>SUBSTITUTE(TRIM(CLEAN('Raw Data'!D9))," ","")</f>
        <v>Poland</v>
      </c>
      <c r="E9" t="str">
        <f>IF(ISBLANK('Raw Data'!E9),E8,Table2[[#This Row],[Unit of Measure]])</f>
        <v>pcs</v>
      </c>
      <c r="F9">
        <f>'Raw Data'!F9</f>
        <v>156000</v>
      </c>
      <c r="G9">
        <f>'Raw Data'!G9</f>
        <v>0.53</v>
      </c>
      <c r="H9" s="4">
        <f>IF(ISBLANK('Raw Data'!H9),Table3[[#This Row],[Quantity Sold]]*Table3[[#This Row],[Unit Weight (kg)]]/1000,Table2[[#This Row],[Total Weight (tons)]])</f>
        <v>82.68</v>
      </c>
      <c r="I9" s="5">
        <f>IF(ISBLANK('Raw Data'!I9),Table3[[#This Row],[Net Revenue, excl. VAT (USD)]]/Table3[[#This Row],[Quantity Sold]],Table2[[#This Row],[Average Selling Price per Unit (USD)]])</f>
        <v>0.12758620689655173</v>
      </c>
      <c r="J9" s="6">
        <f>'Raw Data'!J9</f>
        <v>240.72869225764475</v>
      </c>
      <c r="K9" s="3">
        <f>'Raw Data'!K9</f>
        <v>19903.448275862069</v>
      </c>
      <c r="L9" s="3">
        <f>'Raw Data'!L9</f>
        <v>19903.448275862069</v>
      </c>
      <c r="M9" s="3">
        <f>'Raw Data'!M9</f>
        <v>17665.463601532567</v>
      </c>
      <c r="N9" s="3">
        <f>'Raw Data'!N9</f>
        <v>2384.837586206897</v>
      </c>
      <c r="O9" s="3">
        <f>'Raw Data'!O9</f>
        <v>529.96390804597706</v>
      </c>
      <c r="P9" s="3">
        <f>'Raw Data'!P9</f>
        <v>20580.265095785442</v>
      </c>
      <c r="Q9" s="5">
        <f>'Raw Data'!Q9</f>
        <v>0.1319247762550349</v>
      </c>
      <c r="R9" s="6">
        <f>'Raw Data'!R9</f>
        <v>248.91467217931108</v>
      </c>
      <c r="S9" s="3">
        <f>'Raw Data'!S9</f>
        <v>-676.81681992337337</v>
      </c>
      <c r="T9" s="7">
        <f>IF(ISBLANK('Raw Data'!T9),Table3[[#This Row],[Operating Profit (USD)]]/Table3[[#This Row],[Total Cost (USD)]],Table2[[#This Row],[Product Profitability (%)]])</f>
        <v>-3.2886691049571377E-2</v>
      </c>
      <c r="U9" s="7">
        <f>IF(ISBLANK('Raw Data'!U9),Table3[[#This Row],[Operating Profit (USD)]]/Table3[[#This Row],[Net Revenue, excl. VAT (USD)]],Table2[[#This Row],[Profit Margin (%)]])</f>
        <v>-3.400500308000317E-2</v>
      </c>
    </row>
    <row r="10" spans="1:21" x14ac:dyDescent="0.3">
      <c r="A10" s="10" t="s">
        <v>37</v>
      </c>
      <c r="B10" s="15" t="str">
        <f>SUBSTITUTE(TRIM(CLEAN('Raw Data'!B10))," ","")</f>
        <v>0.5</v>
      </c>
      <c r="C10" t="str">
        <f>SUBSTITUTE(TRIM(CLEAN('Raw Data'!C10))," ","")</f>
        <v>Colored</v>
      </c>
      <c r="D10" t="str">
        <f>SUBSTITUTE(TRIM(CLEAN('Raw Data'!D10))," ","")</f>
        <v>Poland</v>
      </c>
      <c r="E10" t="str">
        <f>IF(ISBLANK('Raw Data'!E10),E9,Table2[[#This Row],[Unit of Measure]])</f>
        <v>pcs</v>
      </c>
      <c r="F10">
        <f>'Raw Data'!F10</f>
        <v>483500</v>
      </c>
      <c r="G10">
        <f>'Raw Data'!G10</f>
        <v>0.34499999999999997</v>
      </c>
      <c r="H10" s="4">
        <f>IF(ISBLANK('Raw Data'!H10),Table3[[#This Row],[Quantity Sold]]*Table3[[#This Row],[Unit Weight (kg)]]/1000,Table2[[#This Row],[Total Weight (tons)]])</f>
        <v>166.8075</v>
      </c>
      <c r="I10" s="5">
        <f>IF(ISBLANK('Raw Data'!I10),Table3[[#This Row],[Net Revenue, excl. VAT (USD)]]/Table3[[#This Row],[Quantity Sold]],Table2[[#This Row],[Average Selling Price per Unit (USD)]])</f>
        <v>8.9655172413793116E-2</v>
      </c>
      <c r="J10" s="6">
        <f>'Raw Data'!J10</f>
        <v>259.87006496751627</v>
      </c>
      <c r="K10" s="3">
        <f>'Raw Data'!K10</f>
        <v>43348.275862068964</v>
      </c>
      <c r="L10" s="3">
        <f>'Raw Data'!L10</f>
        <v>43348.275862068964</v>
      </c>
      <c r="M10" s="3">
        <f>'Raw Data'!M10</f>
        <v>34629.274536526689</v>
      </c>
      <c r="N10" s="3">
        <f>'Raw Data'!N10</f>
        <v>4674.9520624311035</v>
      </c>
      <c r="O10" s="3">
        <f>'Raw Data'!O10</f>
        <v>1038.8782360958007</v>
      </c>
      <c r="P10" s="3">
        <f>'Raw Data'!P10</f>
        <v>40343.104835053593</v>
      </c>
      <c r="Q10" s="5">
        <f>'Raw Data'!Q10</f>
        <v>8.3439720444785093E-2</v>
      </c>
      <c r="R10" s="6">
        <f>'Raw Data'!R10</f>
        <v>241.85426215879735</v>
      </c>
      <c r="S10" s="3">
        <f>'Raw Data'!S10</f>
        <v>3005.1710270153731</v>
      </c>
      <c r="T10" s="7">
        <f>IF(ISBLANK('Raw Data'!T10),Table3[[#This Row],[Operating Profit (USD)]]/Table3[[#This Row],[Total Cost (USD)]],Table2[[#This Row],[Product Profitability (%)]])</f>
        <v>7.449032590085182E-2</v>
      </c>
      <c r="U10" s="7">
        <f>IF(ISBLANK('Raw Data'!U10),Table3[[#This Row],[Operating Profit (USD)]]/Table3[[#This Row],[Net Revenue, excl. VAT (USD)]],Table2[[#This Row],[Profit Margin (%)]])</f>
        <v>6.9326195038935501E-2</v>
      </c>
    </row>
    <row r="11" spans="1:21" x14ac:dyDescent="0.3">
      <c r="A11" t="s">
        <v>38</v>
      </c>
      <c r="B11" s="15" t="str">
        <f>SUBSTITUTE(TRIM(CLEAN('Raw Data'!B11))," ","")</f>
        <v>0.5</v>
      </c>
      <c r="C11" t="str">
        <f>SUBSTITUTE(TRIM(CLEAN('Raw Data'!C11))," ","")</f>
        <v>Clear</v>
      </c>
      <c r="D11" t="str">
        <f>SUBSTITUTE(TRIM(CLEAN('Raw Data'!D11))," ","")</f>
        <v>Poland</v>
      </c>
      <c r="E11" t="str">
        <f>IF(ISBLANK('Raw Data'!E11),E10,Table2[[#This Row],[Unit of Measure]])</f>
        <v>pcs</v>
      </c>
      <c r="F11">
        <f>'Raw Data'!F11</f>
        <v>259320</v>
      </c>
      <c r="G11">
        <f>'Raw Data'!G11</f>
        <v>0.51</v>
      </c>
      <c r="H11" s="4">
        <f>IF(ISBLANK('Raw Data'!H11),Table3[[#This Row],[Quantity Sold]]*Table3[[#This Row],[Unit Weight (kg)]]/1000,Table2[[#This Row],[Total Weight (tons)]])</f>
        <v>132.25320000000002</v>
      </c>
      <c r="I11" s="5">
        <f>IF(ISBLANK('Raw Data'!I11),Table3[[#This Row],[Net Revenue, excl. VAT (USD)]]/Table3[[#This Row],[Quantity Sold]],Table2[[#This Row],[Average Selling Price per Unit (USD)]])</f>
        <v>0.12413793103448276</v>
      </c>
      <c r="J11" s="6">
        <f>'Raw Data'!J11</f>
        <v>243.40770791075047</v>
      </c>
      <c r="K11" s="3">
        <f>'Raw Data'!K11</f>
        <v>32191.448275862069</v>
      </c>
      <c r="L11" s="3">
        <f>'Raw Data'!L11</f>
        <v>32191.448275862069</v>
      </c>
      <c r="M11" s="3">
        <f>'Raw Data'!M11</f>
        <v>30285.660379077159</v>
      </c>
      <c r="N11" s="3">
        <f>'Raw Data'!N11</f>
        <v>4088.5641511754166</v>
      </c>
      <c r="O11" s="3">
        <f>'Raw Data'!O11</f>
        <v>908.5698113723148</v>
      </c>
      <c r="P11" s="3">
        <f>'Raw Data'!P11</f>
        <v>35282.794341624889</v>
      </c>
      <c r="Q11" s="5">
        <f>'Raw Data'!Q11</f>
        <v>0.13605890151791181</v>
      </c>
      <c r="R11" s="6">
        <f>'Raw Data'!R11</f>
        <v>266.78215983904272</v>
      </c>
      <c r="S11" s="3">
        <f>'Raw Data'!S11</f>
        <v>-3091.3460657628234</v>
      </c>
      <c r="T11" s="7">
        <f>IF(ISBLANK('Raw Data'!T11),Table3[[#This Row],[Operating Profit (USD)]]/Table3[[#This Row],[Total Cost (USD)]],Table2[[#This Row],[Product Profitability (%)]])</f>
        <v>-8.7616248186890525E-2</v>
      </c>
      <c r="U11" s="7">
        <f>IF(ISBLANK('Raw Data'!U11),Table3[[#This Row],[Operating Profit (USD)]]/Table3[[#This Row],[Net Revenue, excl. VAT (USD)]],Table2[[#This Row],[Profit Margin (%)]])</f>
        <v>-9.6030040005400746E-2</v>
      </c>
    </row>
    <row r="12" spans="1:21" x14ac:dyDescent="0.3">
      <c r="A12" t="s">
        <v>39</v>
      </c>
      <c r="B12" s="15" t="str">
        <f>SUBSTITUTE(TRIM(CLEAN('Raw Data'!B12))," ","")</f>
        <v>0.5</v>
      </c>
      <c r="C12" t="str">
        <f>SUBSTITUTE(TRIM(CLEAN('Raw Data'!C12))," ","")</f>
        <v>Clear</v>
      </c>
      <c r="D12" t="str">
        <f>SUBSTITUTE(TRIM(CLEAN('Raw Data'!D12))," ","")</f>
        <v>Poland</v>
      </c>
      <c r="E12" t="str">
        <f>IF(ISBLANK('Raw Data'!E12),E11,Table2[[#This Row],[Unit of Measure]])</f>
        <v>pcs</v>
      </c>
      <c r="F12">
        <f>'Raw Data'!F12</f>
        <v>763980</v>
      </c>
      <c r="G12">
        <f>'Raw Data'!G12</f>
        <v>0.41499999999999998</v>
      </c>
      <c r="H12" s="4">
        <f>IF(ISBLANK('Raw Data'!H12),Table3[[#This Row],[Quantity Sold]]*Table3[[#This Row],[Unit Weight (kg)]]/1000,Table2[[#This Row],[Total Weight (tons)]])</f>
        <v>317.05170000000004</v>
      </c>
      <c r="I12" s="5">
        <f>IF(ISBLANK('Raw Data'!I12),Table3[[#This Row],[Net Revenue, excl. VAT (USD)]]/Table3[[#This Row],[Quantity Sold]],Table2[[#This Row],[Average Selling Price per Unit (USD)]])</f>
        <v>0.12068965517241378</v>
      </c>
      <c r="J12" s="6">
        <f>'Raw Data'!J12</f>
        <v>290.81844619858742</v>
      </c>
      <c r="K12" s="3">
        <f>'Raw Data'!K12</f>
        <v>92204.482758620696</v>
      </c>
      <c r="L12" s="3">
        <f>'Raw Data'!L12</f>
        <v>92204.482758620696</v>
      </c>
      <c r="M12" s="3">
        <f>'Raw Data'!M12</f>
        <v>74879.802765401007</v>
      </c>
      <c r="N12" s="3">
        <f>'Raw Data'!N12</f>
        <v>10108.773373329137</v>
      </c>
      <c r="O12" s="3">
        <f>'Raw Data'!O12</f>
        <v>2246.3940829620301</v>
      </c>
      <c r="P12" s="3">
        <f>'Raw Data'!P12</f>
        <v>87234.970221692172</v>
      </c>
      <c r="Q12" s="5">
        <f>'Raw Data'!Q12</f>
        <v>0.11418488732910831</v>
      </c>
      <c r="R12" s="6">
        <f>'Raw Data'!R12</f>
        <v>275.14430681712844</v>
      </c>
      <c r="S12" s="3">
        <f>'Raw Data'!S12</f>
        <v>4969.5125369285233</v>
      </c>
      <c r="T12" s="7">
        <f>IF(ISBLANK('Raw Data'!T12),Table3[[#This Row],[Operating Profit (USD)]]/Table3[[#This Row],[Total Cost (USD)]],Table2[[#This Row],[Product Profitability (%)]])</f>
        <v>5.6966976939401608E-2</v>
      </c>
      <c r="U12" s="7">
        <f>IF(ISBLANK('Raw Data'!U12),Table3[[#This Row],[Operating Profit (USD)]]/Table3[[#This Row],[Net Revenue, excl. VAT (USD)]],Table2[[#This Row],[Profit Margin (%)]])</f>
        <v>5.3896647844531152E-2</v>
      </c>
    </row>
    <row r="13" spans="1:21" x14ac:dyDescent="0.3">
      <c r="A13" t="s">
        <v>40</v>
      </c>
      <c r="B13" s="15" t="str">
        <f>SUBSTITUTE(TRIM(CLEAN('Raw Data'!B13))," ","")</f>
        <v>0.5</v>
      </c>
      <c r="C13" t="str">
        <f>SUBSTITUTE(TRIM(CLEAN('Raw Data'!C13))," ","")</f>
        <v>Clear</v>
      </c>
      <c r="D13" t="str">
        <f>SUBSTITUTE(TRIM(CLEAN('Raw Data'!D13))," ","")</f>
        <v>Latvia</v>
      </c>
      <c r="E13" t="str">
        <f>IF(ISBLANK('Raw Data'!E13),E12,Table2[[#This Row],[Unit of Measure]])</f>
        <v>pcs</v>
      </c>
      <c r="F13">
        <f>'Raw Data'!F13</f>
        <v>85620</v>
      </c>
      <c r="G13">
        <f>'Raw Data'!G13</f>
        <v>0.44500000000000001</v>
      </c>
      <c r="H13" s="4">
        <f>IF(ISBLANK('Raw Data'!H13),Table3[[#This Row],[Quantity Sold]]*Table3[[#This Row],[Unit Weight (kg)]]/1000,Table2[[#This Row],[Total Weight (tons)]])</f>
        <v>38.100900000000003</v>
      </c>
      <c r="I13" s="5">
        <f>IF(ISBLANK('Raw Data'!I13),Table3[[#This Row],[Net Revenue, excl. VAT (USD)]]/Table3[[#This Row],[Quantity Sold]],Table2[[#This Row],[Average Selling Price per Unit (USD)]])</f>
        <v>0.12931034482758622</v>
      </c>
      <c r="J13" s="6">
        <f>'Raw Data'!J13</f>
        <v>290.58504455637348</v>
      </c>
      <c r="K13" s="3">
        <f>'Raw Data'!K13</f>
        <v>11071.551724137931</v>
      </c>
      <c r="L13" s="3">
        <f>'Raw Data'!L13</f>
        <v>11071.551724137931</v>
      </c>
      <c r="M13" s="3">
        <f>'Raw Data'!M13</f>
        <v>9875.8455056900821</v>
      </c>
      <c r="N13" s="3">
        <f>'Raw Data'!N13</f>
        <v>1333.2391432681611</v>
      </c>
      <c r="O13" s="3">
        <f>'Raw Data'!O13</f>
        <v>296.27536517070246</v>
      </c>
      <c r="P13" s="3">
        <f>'Raw Data'!P13</f>
        <v>11505.360014128944</v>
      </c>
      <c r="Q13" s="5">
        <f>'Raw Data'!Q13</f>
        <v>0.13437701488120701</v>
      </c>
      <c r="R13" s="6">
        <f>'Raw Data'!R13</f>
        <v>301.97081995776858</v>
      </c>
      <c r="S13" s="3">
        <f>'Raw Data'!S13</f>
        <v>-433.80828999101328</v>
      </c>
      <c r="T13" s="7">
        <f>IF(ISBLANK('Raw Data'!T13),Table3[[#This Row],[Operating Profit (USD)]]/Table3[[#This Row],[Total Cost (USD)]],Table2[[#This Row],[Product Profitability (%)]])</f>
        <v>-3.7704886197240509E-2</v>
      </c>
      <c r="U13" s="7">
        <f>IF(ISBLANK('Raw Data'!U13),Table3[[#This Row],[Operating Profit (USD)]]/Table3[[#This Row],[Net Revenue, excl. VAT (USD)]],Table2[[#This Row],[Profit Margin (%)]])</f>
        <v>-3.9182248414667553E-2</v>
      </c>
    </row>
    <row r="14" spans="1:21" x14ac:dyDescent="0.3">
      <c r="A14" t="s">
        <v>42</v>
      </c>
      <c r="B14" s="15" t="str">
        <f>SUBSTITUTE(TRIM(CLEAN('Raw Data'!B14))," ","")</f>
        <v>0.5</v>
      </c>
      <c r="C14" t="str">
        <f>SUBSTITUTE(TRIM(CLEAN('Raw Data'!C14))," ","")</f>
        <v>Colored</v>
      </c>
      <c r="D14" t="str">
        <f>SUBSTITUTE(TRIM(CLEAN('Raw Data'!D14))," ","")</f>
        <v>Latvia</v>
      </c>
      <c r="E14" t="str">
        <f>IF(ISBLANK('Raw Data'!E14),E13,Table2[[#This Row],[Unit of Measure]])</f>
        <v>pcs</v>
      </c>
      <c r="F14">
        <f>'Raw Data'!F14</f>
        <v>256300</v>
      </c>
      <c r="G14">
        <f>'Raw Data'!G14</f>
        <v>0.33</v>
      </c>
      <c r="H14" s="4">
        <f>IF(ISBLANK('Raw Data'!H14),Table3[[#This Row],[Quantity Sold]]*Table3[[#This Row],[Unit Weight (kg)]]/1000,Table2[[#This Row],[Total Weight (tons)]])</f>
        <v>84.578999999999994</v>
      </c>
      <c r="I14" s="5">
        <f>IF(ISBLANK('Raw Data'!I14),Table3[[#This Row],[Net Revenue, excl. VAT (USD)]]/Table3[[#This Row],[Quantity Sold]],Table2[[#This Row],[Average Selling Price per Unit (USD)]])</f>
        <v>8.793103448275863E-2</v>
      </c>
      <c r="J14" s="6">
        <f>'Raw Data'!J14</f>
        <v>266.45768025078371</v>
      </c>
      <c r="K14" s="3">
        <f>'Raw Data'!K14</f>
        <v>22536.724137931036</v>
      </c>
      <c r="L14" s="3">
        <f>'Raw Data'!L14</f>
        <v>22536.724137931036</v>
      </c>
      <c r="M14" s="3">
        <f>'Raw Data'!M14</f>
        <v>17962.562809274903</v>
      </c>
      <c r="N14" s="3">
        <f>'Raw Data'!N14</f>
        <v>2424.9459792521125</v>
      </c>
      <c r="O14" s="3">
        <f>'Raw Data'!O14</f>
        <v>538.87688427824708</v>
      </c>
      <c r="P14" s="3">
        <f>'Raw Data'!P14</f>
        <v>20926.385672805263</v>
      </c>
      <c r="Q14" s="5">
        <f>'Raw Data'!Q14</f>
        <v>8.1648012769431386E-2</v>
      </c>
      <c r="R14" s="6">
        <f>'Raw Data'!R14</f>
        <v>247.41822051342845</v>
      </c>
      <c r="S14" s="3">
        <f>'Raw Data'!S14</f>
        <v>1610.3384651257711</v>
      </c>
      <c r="T14" s="7">
        <f>IF(ISBLANK('Raw Data'!T14),Table3[[#This Row],[Operating Profit (USD)]]/Table3[[#This Row],[Total Cost (USD)]],Table2[[#This Row],[Product Profitability (%)]])</f>
        <v>7.695253687398465E-2</v>
      </c>
      <c r="U14" s="7">
        <f>IF(ISBLANK('Raw Data'!U14),Table3[[#This Row],[Operating Profit (USD)]]/Table3[[#This Row],[Net Revenue, excl. VAT (USD)]],Table2[[#This Row],[Profit Margin (%)]])</f>
        <v>7.1453972426074472E-2</v>
      </c>
    </row>
    <row r="15" spans="1:21" x14ac:dyDescent="0.3">
      <c r="A15" t="s">
        <v>30</v>
      </c>
      <c r="B15" s="15" t="str">
        <f>SUBSTITUTE(TRIM(CLEAN('Raw Data'!B15))," ","")</f>
        <v>0.5</v>
      </c>
      <c r="C15" t="str">
        <f>SUBSTITUTE(TRIM(CLEAN('Raw Data'!C15))," ","")</f>
        <v>Colored</v>
      </c>
      <c r="D15" t="str">
        <f>SUBSTITUTE(TRIM(CLEAN('Raw Data'!D15))," ","")</f>
        <v>Belarus</v>
      </c>
      <c r="E15" t="str">
        <f>IF(ISBLANK('Raw Data'!E15),E14,Table2[[#This Row],[Unit of Measure]])</f>
        <v>pcs</v>
      </c>
      <c r="F15">
        <f>'Raw Data'!F15</f>
        <v>46592</v>
      </c>
      <c r="G15">
        <f>'Raw Data'!G15</f>
        <v>0.33</v>
      </c>
      <c r="H15" s="4">
        <f>IF(ISBLANK('Raw Data'!H15),Table3[[#This Row],[Quantity Sold]]*Table3[[#This Row],[Unit Weight (kg)]]/1000,Table2[[#This Row],[Total Weight (tons)]])</f>
        <v>15.375360000000001</v>
      </c>
      <c r="I15" s="5">
        <f>IF(ISBLANK('Raw Data'!I15),Table3[[#This Row],[Net Revenue, excl. VAT (USD)]]/Table3[[#This Row],[Quantity Sold]],Table2[[#This Row],[Average Selling Price per Unit (USD)]])</f>
        <v>8.6206896551724144E-2</v>
      </c>
      <c r="J15" s="6">
        <f>'Raw Data'!J15</f>
        <v>261.23301985370949</v>
      </c>
      <c r="K15" s="3">
        <f>'Raw Data'!K15</f>
        <v>4016.5517241379312</v>
      </c>
      <c r="L15" s="3">
        <f>'Raw Data'!L15</f>
        <v>4819.8620689655172</v>
      </c>
      <c r="M15" s="3">
        <f>'Raw Data'!M15</f>
        <v>3662.6655172413793</v>
      </c>
      <c r="N15" s="3">
        <f>'Raw Data'!N15</f>
        <v>458.10689655172416</v>
      </c>
      <c r="O15" s="3">
        <f>'Raw Data'!O15</f>
        <v>93.455172413793093</v>
      </c>
      <c r="P15" s="3">
        <f>'Raw Data'!P15</f>
        <v>4214.2275862068964</v>
      </c>
      <c r="Q15" s="5">
        <f>'Raw Data'!Q15</f>
        <v>9.0449596201212595E-2</v>
      </c>
      <c r="R15" s="6">
        <f>'Raw Data'!R15</f>
        <v>274.08968545821995</v>
      </c>
      <c r="S15" s="3">
        <f>'Raw Data'!S15</f>
        <v>-197.67586206896559</v>
      </c>
      <c r="T15" s="7">
        <f>IF(ISBLANK('Raw Data'!T15),Table3[[#This Row],[Operating Profit (USD)]]/Table3[[#This Row],[Total Cost (USD)]],Table2[[#This Row],[Product Profitability (%)]])</f>
        <v>-4.6906783752248146E-2</v>
      </c>
      <c r="U15" s="7">
        <f>IF(ISBLANK('Raw Data'!U15),Table3[[#This Row],[Operating Profit (USD)]]/Table3[[#This Row],[Net Revenue, excl. VAT (USD)]],Table2[[#This Row],[Profit Margin (%)]])</f>
        <v>-4.9215315934065952E-2</v>
      </c>
    </row>
    <row r="16" spans="1:21" x14ac:dyDescent="0.3">
      <c r="A16" t="s">
        <v>23</v>
      </c>
      <c r="B16" s="15" t="str">
        <f>SUBSTITUTE(TRIM(CLEAN('Raw Data'!B16))," ","")</f>
        <v>0.7</v>
      </c>
      <c r="C16" t="str">
        <f>SUBSTITUTE(TRIM(CLEAN('Raw Data'!C16))," ","")</f>
        <v>Colored</v>
      </c>
      <c r="D16" t="str">
        <f>SUBSTITUTE(TRIM(CLEAN('Raw Data'!D16))," ","")</f>
        <v>Belarus</v>
      </c>
      <c r="E16" t="str">
        <f>IF(ISBLANK('Raw Data'!E16),E15,Table2[[#This Row],[Unit of Measure]])</f>
        <v>pcs</v>
      </c>
      <c r="F16">
        <f>'Raw Data'!F16</f>
        <v>200160</v>
      </c>
      <c r="G16">
        <f>'Raw Data'!G16</f>
        <v>0.45</v>
      </c>
      <c r="H16" s="4">
        <f>IF(ISBLANK('Raw Data'!H16),Table3[[#This Row],[Quantity Sold]]*Table3[[#This Row],[Unit Weight (kg)]]/1000,Table2[[#This Row],[Total Weight (tons)]])</f>
        <v>90.072000000000003</v>
      </c>
      <c r="I16" s="5">
        <f>IF(ISBLANK('Raw Data'!I16),Table3[[#This Row],[Net Revenue, excl. VAT (USD)]]/Table3[[#This Row],[Quantity Sold]],Table2[[#This Row],[Average Selling Price per Unit (USD)]])</f>
        <v>0.12413793103448277</v>
      </c>
      <c r="J16" s="6">
        <f>'Raw Data'!J16</f>
        <v>275.86206896551727</v>
      </c>
      <c r="K16" s="3">
        <f>'Raw Data'!K16</f>
        <v>24847.448275862072</v>
      </c>
      <c r="L16" s="3">
        <f>'Raw Data'!L16</f>
        <v>29816.937931034481</v>
      </c>
      <c r="M16" s="3">
        <f>'Raw Data'!M16</f>
        <v>19171.565517241379</v>
      </c>
      <c r="N16" s="3">
        <f>'Raw Data'!N16</f>
        <v>2683.6793103448276</v>
      </c>
      <c r="O16" s="3">
        <f>'Raw Data'!O16</f>
        <v>547.46896551724137</v>
      </c>
      <c r="P16" s="3">
        <f>'Raw Data'!P16</f>
        <v>22402.713793103449</v>
      </c>
      <c r="Q16" s="5">
        <f>'Raw Data'!Q16</f>
        <v>0.11192402974172387</v>
      </c>
      <c r="R16" s="6">
        <f>'Raw Data'!R16</f>
        <v>248.72006609271969</v>
      </c>
      <c r="S16" s="3">
        <f>'Raw Data'!S16</f>
        <v>2444.7344827586217</v>
      </c>
      <c r="T16" s="7">
        <f>IF(ISBLANK('Raw Data'!T16),Table3[[#This Row],[Operating Profit (USD)]]/Table3[[#This Row],[Total Cost (USD)]],Table2[[#This Row],[Product Profitability (%)]])</f>
        <v>0.10912671140365235</v>
      </c>
      <c r="U16" s="7">
        <f>IF(ISBLANK('Raw Data'!U16),Table3[[#This Row],[Operating Profit (USD)]]/Table3[[#This Row],[Net Revenue, excl. VAT (USD)]],Table2[[#This Row],[Profit Margin (%)]])</f>
        <v>9.838976041389115E-2</v>
      </c>
    </row>
    <row r="17" spans="1:21" x14ac:dyDescent="0.3">
      <c r="A17" t="s">
        <v>32</v>
      </c>
      <c r="B17" s="15" t="str">
        <f>SUBSTITUTE(TRIM(CLEAN('Raw Data'!B17))," ","")</f>
        <v>0.375</v>
      </c>
      <c r="C17" t="str">
        <f>SUBSTITUTE(TRIM(CLEAN('Raw Data'!C17))," ","")</f>
        <v>Colored</v>
      </c>
      <c r="D17" t="str">
        <f>SUBSTITUTE(TRIM(CLEAN('Raw Data'!D17))," ","")</f>
        <v>Belarus</v>
      </c>
      <c r="E17" t="str">
        <f>IF(ISBLANK('Raw Data'!E17),E16,Table2[[#This Row],[Unit of Measure]])</f>
        <v>pcs</v>
      </c>
      <c r="F17">
        <f>'Raw Data'!F17</f>
        <v>85008</v>
      </c>
      <c r="G17">
        <f>'Raw Data'!G17</f>
        <v>0.45700000000000002</v>
      </c>
      <c r="H17" s="4">
        <f>IF(ISBLANK('Raw Data'!H17),Table3[[#This Row],[Quantity Sold]]*Table3[[#This Row],[Unit Weight (kg)]]/1000,Table2[[#This Row],[Total Weight (tons)]])</f>
        <v>38.848656000000005</v>
      </c>
      <c r="I17" s="5">
        <f>IF(ISBLANK('Raw Data'!I17),Table3[[#This Row],[Net Revenue, excl. VAT (USD)]]/Table3[[#This Row],[Quantity Sold]],Table2[[#This Row],[Average Selling Price per Unit (USD)]])</f>
        <v>0.13793103448275862</v>
      </c>
      <c r="J17" s="6">
        <f>'Raw Data'!J17</f>
        <v>301.81845619859649</v>
      </c>
      <c r="K17" s="3">
        <f>'Raw Data'!K17</f>
        <v>11725.241379310344</v>
      </c>
      <c r="L17" s="3">
        <f>'Raw Data'!L17</f>
        <v>14070.289655172413</v>
      </c>
      <c r="M17" s="3">
        <f>'Raw Data'!M17</f>
        <v>8223.7413793103442</v>
      </c>
      <c r="N17" s="3">
        <f>'Raw Data'!N17</f>
        <v>1157.4896551724137</v>
      </c>
      <c r="O17" s="3">
        <f>'Raw Data'!O17</f>
        <v>236.13103448275862</v>
      </c>
      <c r="P17" s="3">
        <f>'Raw Data'!P17</f>
        <v>9617.3620689655163</v>
      </c>
      <c r="Q17" s="5">
        <f>'Raw Data'!Q17</f>
        <v>0.1131347881254178</v>
      </c>
      <c r="R17" s="6">
        <f>'Raw Data'!R17</f>
        <v>247.55971143417463</v>
      </c>
      <c r="S17" s="3">
        <f>'Raw Data'!S17</f>
        <v>2107.879310344827</v>
      </c>
      <c r="T17" s="7">
        <f>IF(ISBLANK('Raw Data'!T17),Table3[[#This Row],[Operating Profit (USD)]]/Table3[[#This Row],[Total Cost (USD)]],Table2[[#This Row],[Product Profitability (%)]])</f>
        <v>0.21917437393220232</v>
      </c>
      <c r="U17" s="7">
        <f>IF(ISBLANK('Raw Data'!U17),Table3[[#This Row],[Operating Profit (USD)]]/Table3[[#This Row],[Net Revenue, excl. VAT (USD)]],Table2[[#This Row],[Profit Margin (%)]])</f>
        <v>0.17977278609072084</v>
      </c>
    </row>
    <row r="18" spans="1:21" x14ac:dyDescent="0.3">
      <c r="A18" s="10" t="s">
        <v>33</v>
      </c>
      <c r="B18" s="15" t="str">
        <f>SUBSTITUTE(TRIM(CLEAN('Raw Data'!B18))," ","")</f>
        <v>0.568</v>
      </c>
      <c r="C18" t="str">
        <f>SUBSTITUTE(TRIM(CLEAN('Raw Data'!C18))," ","")</f>
        <v>Colored</v>
      </c>
      <c r="D18" t="str">
        <f>SUBSTITUTE(TRIM(CLEAN('Raw Data'!D18))," ","")</f>
        <v>Belarus</v>
      </c>
      <c r="E18" t="str">
        <f>IF(ISBLANK('Raw Data'!E18),E17,Table2[[#This Row],[Unit of Measure]])</f>
        <v>pcs</v>
      </c>
      <c r="F18">
        <f>'Raw Data'!F18</f>
        <v>170816</v>
      </c>
      <c r="G18">
        <f>'Raw Data'!G18</f>
        <v>0.37</v>
      </c>
      <c r="H18" s="4">
        <f>IF(ISBLANK('Raw Data'!H18),Table3[[#This Row],[Quantity Sold]]*Table3[[#This Row],[Unit Weight (kg)]]/1000,Table2[[#This Row],[Total Weight (tons)]])</f>
        <v>63.201920000000001</v>
      </c>
      <c r="I18" s="5">
        <f>IF(ISBLANK('Raw Data'!I18),Table3[[#This Row],[Net Revenue, excl. VAT (USD)]]/Table3[[#This Row],[Quantity Sold]],Table2[[#This Row],[Average Selling Price per Unit (USD)]])</f>
        <v>9.3103448275862075E-2</v>
      </c>
      <c r="J18" s="6">
        <f>'Raw Data'!J18</f>
        <v>251.63094128611368</v>
      </c>
      <c r="K18" s="3">
        <f>'Raw Data'!K18</f>
        <v>15903.558620689655</v>
      </c>
      <c r="L18" s="3">
        <f>'Raw Data'!L18</f>
        <v>19084.272413793104</v>
      </c>
      <c r="M18" s="3">
        <f>'Raw Data'!M18</f>
        <v>14446.096551724138</v>
      </c>
      <c r="N18" s="3">
        <f>'Raw Data'!N18</f>
        <v>1883.0965517241377</v>
      </c>
      <c r="O18" s="3">
        <f>'Raw Data'!O18</f>
        <v>384.15517241379308</v>
      </c>
      <c r="P18" s="3">
        <f>'Raw Data'!P18</f>
        <v>16713.34827586207</v>
      </c>
      <c r="Q18" s="5">
        <f>'Raw Data'!Q18</f>
        <v>9.7844161412643266E-2</v>
      </c>
      <c r="R18" s="6">
        <f>'Raw Data'!R18</f>
        <v>264.44367949363044</v>
      </c>
      <c r="S18" s="3">
        <f>'Raw Data'!S18</f>
        <v>-809.78965517241613</v>
      </c>
      <c r="T18" s="7">
        <f>IF(ISBLANK('Raw Data'!T18),Table3[[#This Row],[Operating Profit (USD)]]/Table3[[#This Row],[Total Cost (USD)]],Table2[[#This Row],[Product Profitability (%)]])</f>
        <v>-4.8451671191579192E-2</v>
      </c>
      <c r="U18" s="7">
        <f>IF(ISBLANK('Raw Data'!U18),Table3[[#This Row],[Operating Profit (USD)]]/Table3[[#This Row],[Net Revenue, excl. VAT (USD)]],Table2[[#This Row],[Profit Margin (%)]])</f>
        <v>-5.0918770728390579E-2</v>
      </c>
    </row>
    <row r="19" spans="1:21" x14ac:dyDescent="0.3">
      <c r="A19" t="s">
        <v>34</v>
      </c>
      <c r="B19" s="15" t="str">
        <f>SUBSTITUTE(TRIM(CLEAN('Raw Data'!B19))," ","")</f>
        <v>0.5</v>
      </c>
      <c r="C19" t="str">
        <f>SUBSTITUTE(TRIM(CLEAN('Raw Data'!C19))," ","")</f>
        <v>Clear</v>
      </c>
      <c r="D19" t="str">
        <f>SUBSTITUTE(TRIM(CLEAN('Raw Data'!D19))," ","")</f>
        <v>Belarus</v>
      </c>
      <c r="E19" t="str">
        <f>IF(ISBLANK('Raw Data'!E19),E18,Table2[[#This Row],[Unit of Measure]])</f>
        <v>pcs</v>
      </c>
      <c r="F19">
        <f>'Raw Data'!F19</f>
        <v>107520</v>
      </c>
      <c r="G19">
        <f>'Raw Data'!G19</f>
        <v>0.35</v>
      </c>
      <c r="H19" s="4">
        <f>IF(ISBLANK('Raw Data'!H19),Table3[[#This Row],[Quantity Sold]]*Table3[[#This Row],[Unit Weight (kg)]]/1000,Table2[[#This Row],[Total Weight (tons)]])</f>
        <v>37.631999999999998</v>
      </c>
      <c r="I19" s="5">
        <f>IF(ISBLANK('Raw Data'!I19),Table3[[#This Row],[Net Revenue, excl. VAT (USD)]]/Table3[[#This Row],[Quantity Sold]],Table2[[#This Row],[Average Selling Price per Unit (USD)]])</f>
        <v>9.9999999999999992E-2</v>
      </c>
      <c r="J19" s="6">
        <f>'Raw Data'!J19</f>
        <v>285.71428571428572</v>
      </c>
      <c r="K19" s="3">
        <f>'Raw Data'!K19</f>
        <v>10752</v>
      </c>
      <c r="L19" s="3">
        <f>'Raw Data'!L19</f>
        <v>12902.4</v>
      </c>
      <c r="M19" s="3">
        <f>'Raw Data'!M19</f>
        <v>9127.189655172413</v>
      </c>
      <c r="N19" s="3">
        <f>'Raw Data'!N19</f>
        <v>1121.2379310344829</v>
      </c>
      <c r="O19" s="3">
        <f>'Raw Data'!O19</f>
        <v>228.73448275862071</v>
      </c>
      <c r="P19" s="3">
        <f>'Raw Data'!P19</f>
        <v>10477.162068965517</v>
      </c>
      <c r="Q19" s="5">
        <f>'Raw Data'!Q19</f>
        <v>9.7443843647372741E-2</v>
      </c>
      <c r="R19" s="6">
        <f>'Raw Data'!R19</f>
        <v>278.41098184963641</v>
      </c>
      <c r="S19" s="3">
        <f>'Raw Data'!S19</f>
        <v>274.83793103448238</v>
      </c>
      <c r="T19" s="7">
        <f>IF(ISBLANK('Raw Data'!T19),Table3[[#This Row],[Operating Profit (USD)]]/Table3[[#This Row],[Total Cost (USD)]],Table2[[#This Row],[Product Profitability (%)]])</f>
        <v>2.6232096938595798E-2</v>
      </c>
      <c r="U19" s="7">
        <f>IF(ISBLANK('Raw Data'!U19),Table3[[#This Row],[Operating Profit (USD)]]/Table3[[#This Row],[Net Revenue, excl. VAT (USD)]],Table2[[#This Row],[Profit Margin (%)]])</f>
        <v>2.5561563526272542E-2</v>
      </c>
    </row>
    <row r="20" spans="1:21" x14ac:dyDescent="0.3">
      <c r="A20" t="s">
        <v>35</v>
      </c>
      <c r="B20" s="15" t="str">
        <f>SUBSTITUTE(TRIM(CLEAN('Raw Data'!B20))," ","")</f>
        <v>0.5</v>
      </c>
      <c r="C20" t="str">
        <f>SUBSTITUTE(TRIM(CLEAN('Raw Data'!C20))," ","")</f>
        <v>Colored</v>
      </c>
      <c r="D20" t="str">
        <f>SUBSTITUTE(TRIM(CLEAN('Raw Data'!D20))," ","")</f>
        <v>Belarus</v>
      </c>
      <c r="E20" t="str">
        <f>IF(ISBLANK('Raw Data'!E20),E19,Table2[[#This Row],[Unit of Measure]])</f>
        <v>pcs</v>
      </c>
      <c r="F20">
        <f>'Raw Data'!F20</f>
        <v>140400</v>
      </c>
      <c r="G20">
        <f>'Raw Data'!G20</f>
        <v>0.53</v>
      </c>
      <c r="H20" s="4">
        <f>IF(ISBLANK('Raw Data'!H20),Table3[[#This Row],[Quantity Sold]]*Table3[[#This Row],[Unit Weight (kg)]]/1000,Table2[[#This Row],[Total Weight (tons)]])</f>
        <v>74.412000000000006</v>
      </c>
      <c r="I20" s="5">
        <f>IF(ISBLANK('Raw Data'!I20),Table3[[#This Row],[Net Revenue, excl. VAT (USD)]]/Table3[[#This Row],[Quantity Sold]],Table2[[#This Row],[Average Selling Price per Unit (USD)]])</f>
        <v>0.12758620689655173</v>
      </c>
      <c r="J20" s="6">
        <f>'Raw Data'!J20</f>
        <v>240.72869225764475</v>
      </c>
      <c r="K20" s="3">
        <f>'Raw Data'!K20</f>
        <v>17913.103448275862</v>
      </c>
      <c r="L20" s="3">
        <f>'Raw Data'!L20</f>
        <v>21495.724137931036</v>
      </c>
      <c r="M20" s="3">
        <f>'Raw Data'!M20</f>
        <v>15898.917241379311</v>
      </c>
      <c r="N20" s="3">
        <f>'Raw Data'!N20</f>
        <v>2217.1</v>
      </c>
      <c r="O20" s="3">
        <f>'Raw Data'!O20</f>
        <v>452.28965517241386</v>
      </c>
      <c r="P20" s="3">
        <f>'Raw Data'!P20</f>
        <v>18568.306896551723</v>
      </c>
      <c r="Q20" s="5">
        <f>'Raw Data'!Q20</f>
        <v>0.13225289812358776</v>
      </c>
      <c r="R20" s="6">
        <f>'Raw Data'!R20</f>
        <v>249.53377004450522</v>
      </c>
      <c r="S20" s="3">
        <f>'Raw Data'!S20</f>
        <v>-655.20344827586086</v>
      </c>
      <c r="T20" s="7">
        <f>IF(ISBLANK('Raw Data'!T20),Table3[[#This Row],[Operating Profit (USD)]]/Table3[[#This Row],[Total Cost (USD)]],Table2[[#This Row],[Product Profitability (%)]])</f>
        <v>-3.5286116926338457E-2</v>
      </c>
      <c r="U20" s="7">
        <f>IF(ISBLANK('Raw Data'!U20),Table3[[#This Row],[Operating Profit (USD)]]/Table3[[#This Row],[Net Revenue, excl. VAT (USD)]],Table2[[#This Row],[Profit Margin (%)]])</f>
        <v>-3.657676907676901E-2</v>
      </c>
    </row>
    <row r="21" spans="1:21" x14ac:dyDescent="0.3">
      <c r="A21" s="10" t="s">
        <v>37</v>
      </c>
      <c r="B21" s="15" t="str">
        <f>SUBSTITUTE(TRIM(CLEAN('Raw Data'!B21))," ","")</f>
        <v>0.5</v>
      </c>
      <c r="C21" t="str">
        <f>SUBSTITUTE(TRIM(CLEAN('Raw Data'!C21))," ","")</f>
        <v>Colored</v>
      </c>
      <c r="D21" t="str">
        <f>SUBSTITUTE(TRIM(CLEAN('Raw Data'!D21))," ","")</f>
        <v>Belarus</v>
      </c>
      <c r="E21" t="str">
        <f>IF(ISBLANK('Raw Data'!E21),E20,Table2[[#This Row],[Unit of Measure]])</f>
        <v>pcs</v>
      </c>
      <c r="F21">
        <f>'Raw Data'!F21</f>
        <v>480480</v>
      </c>
      <c r="G21">
        <f>'Raw Data'!G21</f>
        <v>0.34499999999999997</v>
      </c>
      <c r="H21" s="4">
        <f>IF(ISBLANK('Raw Data'!H21),Table3[[#This Row],[Quantity Sold]]*Table3[[#This Row],[Unit Weight (kg)]]/1000,Table2[[#This Row],[Total Weight (tons)]])</f>
        <v>165.76559999999998</v>
      </c>
      <c r="I21" s="5">
        <f>IF(ISBLANK('Raw Data'!I21),Table3[[#This Row],[Net Revenue, excl. VAT (USD)]]/Table3[[#This Row],[Quantity Sold]],Table2[[#This Row],[Average Selling Price per Unit (USD)]])</f>
        <v>8.6206896551724144E-2</v>
      </c>
      <c r="J21" s="6">
        <f>'Raw Data'!J21</f>
        <v>249.87506246876566</v>
      </c>
      <c r="K21" s="3">
        <f>'Raw Data'!K21</f>
        <v>41420.689655172413</v>
      </c>
      <c r="L21" s="3">
        <f>'Raw Data'!L21</f>
        <v>49704.827586206899</v>
      </c>
      <c r="M21" s="3">
        <f>'Raw Data'!M21</f>
        <v>34412.975862068968</v>
      </c>
      <c r="N21" s="3">
        <f>'Raw Data'!N21</f>
        <v>4938.9655172413795</v>
      </c>
      <c r="O21" s="3">
        <f>'Raw Data'!O21</f>
        <v>1007.551724137931</v>
      </c>
      <c r="P21" s="3">
        <f>'Raw Data'!P21</f>
        <v>40359.49310344828</v>
      </c>
      <c r="Q21" s="5">
        <f>'Raw Data'!Q21</f>
        <v>8.3998279019830743E-2</v>
      </c>
      <c r="R21" s="6">
        <f>'Raw Data'!R21</f>
        <v>243.47327252124859</v>
      </c>
      <c r="S21" s="3">
        <f>'Raw Data'!S21</f>
        <v>1061.1965517241383</v>
      </c>
      <c r="T21" s="7">
        <f>IF(ISBLANK('Raw Data'!T21),Table3[[#This Row],[Operating Profit (USD)]]/Table3[[#This Row],[Total Cost (USD)]],Table2[[#This Row],[Product Profitability (%)]])</f>
        <v>2.6293604555540633E-2</v>
      </c>
      <c r="U21" s="7">
        <f>IF(ISBLANK('Raw Data'!U21),Table3[[#This Row],[Operating Profit (USD)]]/Table3[[#This Row],[Net Revenue, excl. VAT (USD)]],Table2[[#This Row],[Profit Margin (%)]])</f>
        <v>2.5619963369963378E-2</v>
      </c>
    </row>
    <row r="22" spans="1:21" x14ac:dyDescent="0.3">
      <c r="A22" t="s">
        <v>38</v>
      </c>
      <c r="B22" s="15" t="str">
        <f>SUBSTITUTE(TRIM(CLEAN('Raw Data'!B22))," ","")</f>
        <v>0.5</v>
      </c>
      <c r="C22" t="str">
        <f>SUBSTITUTE(TRIM(CLEAN('Raw Data'!C22))," ","")</f>
        <v>Clear</v>
      </c>
      <c r="D22" t="str">
        <f>SUBSTITUTE(TRIM(CLEAN('Raw Data'!D22))," ","")</f>
        <v>Belarus</v>
      </c>
      <c r="E22" t="str">
        <f>IF(ISBLANK('Raw Data'!E22),E21,Table2[[#This Row],[Unit of Measure]])</f>
        <v>pcs</v>
      </c>
      <c r="F22">
        <f>'Raw Data'!F22</f>
        <v>264992</v>
      </c>
      <c r="G22">
        <f>'Raw Data'!G22</f>
        <v>0.51</v>
      </c>
      <c r="H22" s="4">
        <f>IF(ISBLANK('Raw Data'!H22),Table3[[#This Row],[Quantity Sold]]*Table3[[#This Row],[Unit Weight (kg)]]/1000,Table2[[#This Row],[Total Weight (tons)]])</f>
        <v>135.14592000000002</v>
      </c>
      <c r="I22" s="5">
        <f>IF(ISBLANK('Raw Data'!I22),Table3[[#This Row],[Net Revenue, excl. VAT (USD)]]/Table3[[#This Row],[Quantity Sold]],Table2[[#This Row],[Average Selling Price per Unit (USD)]])</f>
        <v>0.12413793103448276</v>
      </c>
      <c r="J22" s="6">
        <f>'Raw Data'!J22</f>
        <v>243.40770791075047</v>
      </c>
      <c r="K22" s="3">
        <f>'Raw Data'!K22</f>
        <v>32895.558620689655</v>
      </c>
      <c r="L22" s="3">
        <f>'Raw Data'!L22</f>
        <v>39474.665517241381</v>
      </c>
      <c r="M22" s="3">
        <f>'Raw Data'!M22</f>
        <v>30948.086206896551</v>
      </c>
      <c r="N22" s="3">
        <f>'Raw Data'!N22</f>
        <v>4026.6655172413793</v>
      </c>
      <c r="O22" s="3">
        <f>'Raw Data'!O22</f>
        <v>821.43793103448286</v>
      </c>
      <c r="P22" s="3">
        <f>'Raw Data'!P22</f>
        <v>35796.189655172413</v>
      </c>
      <c r="Q22" s="5">
        <f>'Raw Data'!Q22</f>
        <v>0.13508403897163843</v>
      </c>
      <c r="R22" s="6">
        <f>'Raw Data'!R22</f>
        <v>264.87066465027141</v>
      </c>
      <c r="S22" s="3">
        <f>'Raw Data'!S22</f>
        <v>-2900.6310344827593</v>
      </c>
      <c r="T22" s="7">
        <f>IF(ISBLANK('Raw Data'!T22),Table3[[#This Row],[Operating Profit (USD)]]/Table3[[#This Row],[Total Cost (USD)]],Table2[[#This Row],[Product Profitability (%)]])</f>
        <v>-8.1031837813598948E-2</v>
      </c>
      <c r="U22" s="7">
        <f>IF(ISBLANK('Raw Data'!U22),Table3[[#This Row],[Operating Profit (USD)]]/Table3[[#This Row],[Net Revenue, excl. VAT (USD)]],Table2[[#This Row],[Profit Margin (%)]])</f>
        <v>-8.8176980604865243E-2</v>
      </c>
    </row>
    <row r="23" spans="1:21" x14ac:dyDescent="0.3">
      <c r="A23" t="s">
        <v>39</v>
      </c>
      <c r="B23" s="15" t="str">
        <f>SUBSTITUTE(TRIM(CLEAN('Raw Data'!B23))," ","")</f>
        <v>0.5</v>
      </c>
      <c r="C23" t="str">
        <f>SUBSTITUTE(TRIM(CLEAN('Raw Data'!C23))," ","")</f>
        <v>Clear</v>
      </c>
      <c r="D23" t="str">
        <f>SUBSTITUTE(TRIM(CLEAN('Raw Data'!D23))," ","")</f>
        <v>Belarus</v>
      </c>
      <c r="E23" t="str">
        <f>IF(ISBLANK('Raw Data'!E23),E22,Table2[[#This Row],[Unit of Measure]])</f>
        <v>pcs</v>
      </c>
      <c r="F23">
        <f>'Raw Data'!F23</f>
        <v>99680</v>
      </c>
      <c r="G23">
        <f>'Raw Data'!G23</f>
        <v>0.41499999999999998</v>
      </c>
      <c r="H23" s="4">
        <f>IF(ISBLANK('Raw Data'!H23),Table3[[#This Row],[Quantity Sold]]*Table3[[#This Row],[Unit Weight (kg)]]/1000,Table2[[#This Row],[Total Weight (tons)]])</f>
        <v>41.367199999999997</v>
      </c>
      <c r="I23" s="5">
        <f>IF(ISBLANK('Raw Data'!I23),Table3[[#This Row],[Net Revenue, excl. VAT (USD)]]/Table3[[#This Row],[Quantity Sold]],Table2[[#This Row],[Average Selling Price per Unit (USD)]])</f>
        <v>0.12068965517241378</v>
      </c>
      <c r="J23" s="6">
        <f>'Raw Data'!J23</f>
        <v>290.81844619858748</v>
      </c>
      <c r="K23" s="3">
        <f>'Raw Data'!K23</f>
        <v>12030.344827586207</v>
      </c>
      <c r="L23" s="3">
        <f>'Raw Data'!L23</f>
        <v>14436.413793103447</v>
      </c>
      <c r="M23" s="3">
        <f>'Raw Data'!M23</f>
        <v>9769.9137931034493</v>
      </c>
      <c r="N23" s="3">
        <f>'Raw Data'!N23</f>
        <v>1232.5275862068966</v>
      </c>
      <c r="O23" s="3">
        <f>'Raw Data'!O23</f>
        <v>251.43793103448274</v>
      </c>
      <c r="P23" s="3">
        <f>'Raw Data'!P23</f>
        <v>11253.879310344828</v>
      </c>
      <c r="Q23" s="5">
        <f>'Raw Data'!Q23</f>
        <v>0.11290007333813029</v>
      </c>
      <c r="R23" s="6">
        <f>'Raw Data'!R23</f>
        <v>272.04836948947064</v>
      </c>
      <c r="S23" s="3">
        <f>'Raw Data'!S23</f>
        <v>776.4655172413793</v>
      </c>
      <c r="T23" s="7">
        <f>IF(ISBLANK('Raw Data'!T23),Table3[[#This Row],[Operating Profit (USD)]]/Table3[[#This Row],[Total Cost (USD)]],Table2[[#This Row],[Product Profitability (%)]])</f>
        <v>6.8995365582749241E-2</v>
      </c>
      <c r="U23" s="7">
        <f>IF(ISBLANK('Raw Data'!U23),Table3[[#This Row],[Operating Profit (USD)]]/Table3[[#This Row],[Net Revenue, excl. VAT (USD)]],Table2[[#This Row],[Profit Margin (%)]])</f>
        <v>6.4542249484063285E-2</v>
      </c>
    </row>
    <row r="24" spans="1:21" x14ac:dyDescent="0.3">
      <c r="A24" t="s">
        <v>40</v>
      </c>
      <c r="B24" s="15" t="str">
        <f>SUBSTITUTE(TRIM(CLEAN('Raw Data'!B24))," ","")</f>
        <v>0.5</v>
      </c>
      <c r="C24" t="str">
        <f>SUBSTITUTE(TRIM(CLEAN('Raw Data'!C24))," ","")</f>
        <v>Clear</v>
      </c>
      <c r="D24" t="str">
        <f>SUBSTITUTE(TRIM(CLEAN('Raw Data'!D24))," ","")</f>
        <v>Belarus</v>
      </c>
      <c r="E24" t="str">
        <f>IF(ISBLANK('Raw Data'!E24),E23,Table2[[#This Row],[Unit of Measure]])</f>
        <v>pcs</v>
      </c>
      <c r="F24">
        <f>'Raw Data'!F24</f>
        <v>193440</v>
      </c>
      <c r="G24">
        <f>'Raw Data'!G24</f>
        <v>0.44500000000000001</v>
      </c>
      <c r="H24" s="4">
        <f>IF(ISBLANK('Raw Data'!H24),Table3[[#This Row],[Quantity Sold]]*Table3[[#This Row],[Unit Weight (kg)]]/1000,Table2[[#This Row],[Total Weight (tons)]])</f>
        <v>86.080799999999996</v>
      </c>
      <c r="I24" s="5">
        <f>IF(ISBLANK('Raw Data'!I24),Table3[[#This Row],[Net Revenue, excl. VAT (USD)]]/Table3[[#This Row],[Quantity Sold]],Table2[[#This Row],[Average Selling Price per Unit (USD)]])</f>
        <v>0.12758620689655173</v>
      </c>
      <c r="J24" s="6">
        <f>'Raw Data'!J24</f>
        <v>286.71057729562187</v>
      </c>
      <c r="K24" s="3">
        <f>'Raw Data'!K24</f>
        <v>24680.275862068967</v>
      </c>
      <c r="L24" s="3">
        <f>'Raw Data'!L24</f>
        <v>29616.331034482759</v>
      </c>
      <c r="M24" s="3">
        <f>'Raw Data'!M24</f>
        <v>22312.35172413793</v>
      </c>
      <c r="N24" s="3">
        <f>'Raw Data'!N24</f>
        <v>2564.7620689655173</v>
      </c>
      <c r="O24" s="3">
        <f>'Raw Data'!O24</f>
        <v>523.21724137931028</v>
      </c>
      <c r="P24" s="3">
        <f>'Raw Data'!P24</f>
        <v>25400.331034482762</v>
      </c>
      <c r="Q24" s="5">
        <f>'Raw Data'!Q24</f>
        <v>0.13130857648099029</v>
      </c>
      <c r="R24" s="6">
        <f>'Raw Data'!R24</f>
        <v>295.0754527662703</v>
      </c>
      <c r="S24" s="3">
        <f>'Raw Data'!S24</f>
        <v>-720.05517241379437</v>
      </c>
      <c r="T24" s="7">
        <f>IF(ISBLANK('Raw Data'!T24),Table3[[#This Row],[Operating Profit (USD)]]/Table3[[#This Row],[Total Cost (USD)]],Table2[[#This Row],[Product Profitability (%)]])</f>
        <v>-2.834825937647301E-2</v>
      </c>
      <c r="U24" s="7">
        <f>IF(ISBLANK('Raw Data'!U24),Table3[[#This Row],[Operating Profit (USD)]]/Table3[[#This Row],[Net Revenue, excl. VAT (USD)]],Table2[[#This Row],[Profit Margin (%)]])</f>
        <v>-2.9175329175329223E-2</v>
      </c>
    </row>
    <row r="25" spans="1:21" x14ac:dyDescent="0.3">
      <c r="A25" s="10" t="s">
        <v>42</v>
      </c>
      <c r="B25" s="15" t="str">
        <f>SUBSTITUTE(TRIM(CLEAN('Raw Data'!B25))," ","")</f>
        <v>0.5</v>
      </c>
      <c r="C25" t="str">
        <f>SUBSTITUTE(TRIM(CLEAN('Raw Data'!C25))," ","")</f>
        <v>Colored</v>
      </c>
      <c r="D25" t="str">
        <f>SUBSTITUTE(TRIM(CLEAN('Raw Data'!D25))," ","")</f>
        <v>Belarus</v>
      </c>
      <c r="E25" t="str">
        <f>IF(ISBLANK('Raw Data'!E25),E24,Table2[[#This Row],[Unit of Measure]])</f>
        <v>pcs</v>
      </c>
      <c r="F25">
        <f>'Raw Data'!F25</f>
        <v>99008</v>
      </c>
      <c r="G25">
        <f>'Raw Data'!G25</f>
        <v>0.33</v>
      </c>
      <c r="H25" s="4">
        <f>IF(ISBLANK('Raw Data'!H25),Table3[[#This Row],[Quantity Sold]]*Table3[[#This Row],[Unit Weight (kg)]]/1000,Table2[[#This Row],[Total Weight (tons)]])</f>
        <v>32.672640000000001</v>
      </c>
      <c r="I25" s="5">
        <f>IF(ISBLANK('Raw Data'!I25),Table3[[#This Row],[Net Revenue, excl. VAT (USD)]]/Table3[[#This Row],[Quantity Sold]],Table2[[#This Row],[Average Selling Price per Unit (USD)]])</f>
        <v>8.6206896551724144E-2</v>
      </c>
      <c r="J25" s="6">
        <f>'Raw Data'!J25</f>
        <v>261.23301985370949</v>
      </c>
      <c r="K25" s="3">
        <f>'Raw Data'!K25</f>
        <v>8535.1724137931033</v>
      </c>
      <c r="L25" s="3">
        <f>'Raw Data'!L25</f>
        <v>10242.206896551725</v>
      </c>
      <c r="M25" s="3">
        <f>'Raw Data'!M25</f>
        <v>6938.8896551724138</v>
      </c>
      <c r="N25" s="3">
        <f>'Raw Data'!N25</f>
        <v>973.47586206896551</v>
      </c>
      <c r="O25" s="3">
        <f>'Raw Data'!O25</f>
        <v>198.59310344827585</v>
      </c>
      <c r="P25" s="3">
        <f>'Raw Data'!P25</f>
        <v>8110.9586206896547</v>
      </c>
      <c r="Q25" s="5">
        <f>'Raw Data'!Q25</f>
        <v>8.1922254976261058E-2</v>
      </c>
      <c r="R25" s="6">
        <f>'Raw Data'!R25</f>
        <v>248.24925750382141</v>
      </c>
      <c r="S25" s="3">
        <f>'Raw Data'!S25</f>
        <v>424.21379310344867</v>
      </c>
      <c r="T25" s="7">
        <f>IF(ISBLANK('Raw Data'!T25),Table3[[#This Row],[Operating Profit (USD)]]/Table3[[#This Row],[Total Cost (USD)]],Table2[[#This Row],[Product Profitability (%)]])</f>
        <v>5.2301313931173626E-2</v>
      </c>
      <c r="U25" s="7">
        <f>IF(ISBLANK('Raw Data'!U25),Table3[[#This Row],[Operating Profit (USD)]]/Table3[[#This Row],[Net Revenue, excl. VAT (USD)]],Table2[[#This Row],[Profit Margin (%)]])</f>
        <v>4.9701842275371735E-2</v>
      </c>
    </row>
    <row r="26" spans="1:21" x14ac:dyDescent="0.3">
      <c r="A26" t="s">
        <v>44</v>
      </c>
      <c r="B26" s="15" t="str">
        <f>SUBSTITUTE(TRIM(CLEAN('Raw Data'!B26))," ","")</f>
        <v>0.5</v>
      </c>
      <c r="C26" t="str">
        <f>SUBSTITUTE(TRIM(CLEAN('Raw Data'!C26))," ","")</f>
        <v>Colored</v>
      </c>
      <c r="D26" t="str">
        <f>SUBSTITUTE(TRIM(CLEAN('Raw Data'!D26))," ","")</f>
        <v>Belarus</v>
      </c>
      <c r="E26" t="str">
        <f>IF(ISBLANK('Raw Data'!E26),E25,Table2[[#This Row],[Unit of Measure]])</f>
        <v>pcs</v>
      </c>
      <c r="F26">
        <f>'Raw Data'!F26</f>
        <v>466752</v>
      </c>
      <c r="G26">
        <f>'Raw Data'!G26</f>
        <v>0.37</v>
      </c>
      <c r="H26" s="4">
        <f>IF(ISBLANK('Raw Data'!H26),Table3[[#This Row],[Quantity Sold]]*Table3[[#This Row],[Unit Weight (kg)]]/1000,Table2[[#This Row],[Total Weight (tons)]])</f>
        <v>172.69824</v>
      </c>
      <c r="I26" s="5">
        <f>IF(ISBLANK('Raw Data'!I26),Table3[[#This Row],[Net Revenue, excl. VAT (USD)]]/Table3[[#This Row],[Quantity Sold]],Table2[[#This Row],[Average Selling Price per Unit (USD)]])</f>
        <v>9.6551724137931033E-2</v>
      </c>
      <c r="J26" s="6">
        <f>'Raw Data'!J26</f>
        <v>260.95060577819197</v>
      </c>
      <c r="K26" s="3">
        <f>'Raw Data'!K26</f>
        <v>45065.710344827588</v>
      </c>
      <c r="L26" s="3">
        <f>'Raw Data'!L26</f>
        <v>54078.84482758621</v>
      </c>
      <c r="M26" s="3">
        <f>'Raw Data'!M26</f>
        <v>36137.796551724139</v>
      </c>
      <c r="N26" s="3">
        <f>'Raw Data'!N26</f>
        <v>5145.5344827586205</v>
      </c>
      <c r="O26" s="3">
        <f>'Raw Data'!O26</f>
        <v>1049.703448275862</v>
      </c>
      <c r="P26" s="3">
        <f>'Raw Data'!P26</f>
        <v>42333.034482758623</v>
      </c>
      <c r="Q26" s="5">
        <f>'Raw Data'!Q26</f>
        <v>9.0697060714809208E-2</v>
      </c>
      <c r="R26" s="6">
        <f>'Raw Data'!R26</f>
        <v>245.12719112110597</v>
      </c>
      <c r="S26" s="3">
        <f>'Raw Data'!S26</f>
        <v>2732.6758620689639</v>
      </c>
      <c r="T26" s="7">
        <f>IF(ISBLANK('Raw Data'!T26),Table3[[#This Row],[Operating Profit (USD)]]/Table3[[#This Row],[Total Cost (USD)]],Table2[[#This Row],[Product Profitability (%)]])</f>
        <v>6.4551854017975641E-2</v>
      </c>
      <c r="U26" s="7">
        <f>IF(ISBLANK('Raw Data'!U26),Table3[[#This Row],[Operating Profit (USD)]]/Table3[[#This Row],[Net Revenue, excl. VAT (USD)]],Table2[[#This Row],[Profit Margin (%)]])</f>
        <v>6.0637585453761883E-2</v>
      </c>
    </row>
    <row r="27" spans="1:21" x14ac:dyDescent="0.3">
      <c r="A27" t="s">
        <v>45</v>
      </c>
      <c r="B27" s="15" t="str">
        <f>SUBSTITUTE(TRIM(CLEAN('Raw Data'!B27))," ","")</f>
        <v>0.5</v>
      </c>
      <c r="C27" t="str">
        <f>SUBSTITUTE(TRIM(CLEAN('Raw Data'!C27))," ","")</f>
        <v>Clear</v>
      </c>
      <c r="D27" t="str">
        <f>SUBSTITUTE(TRIM(CLEAN('Raw Data'!D27))," ","")</f>
        <v>Belarus</v>
      </c>
      <c r="E27" t="str">
        <f>IF(ISBLANK('Raw Data'!E27),E26,Table2[[#This Row],[Unit of Measure]])</f>
        <v>pcs</v>
      </c>
      <c r="F27">
        <f>'Raw Data'!F27</f>
        <v>117936</v>
      </c>
      <c r="G27">
        <f>'Raw Data'!G27</f>
        <v>0.46500000000000002</v>
      </c>
      <c r="H27" s="4">
        <f>IF(ISBLANK('Raw Data'!H27),Table3[[#This Row],[Quantity Sold]]*Table3[[#This Row],[Unit Weight (kg)]]/1000,Table2[[#This Row],[Total Weight (tons)]])</f>
        <v>54.840240000000009</v>
      </c>
      <c r="I27" s="5">
        <f>IF(ISBLANK('Raw Data'!I27),Table3[[#This Row],[Net Revenue, excl. VAT (USD)]]/Table3[[#This Row],[Quantity Sold]],Table2[[#This Row],[Average Selling Price per Unit (USD)]])</f>
        <v>0.13793103448275862</v>
      </c>
      <c r="J27" s="6">
        <f>'Raw Data'!J27</f>
        <v>296.62588060808304</v>
      </c>
      <c r="K27" s="3">
        <f>'Raw Data'!K27</f>
        <v>16267.034482758621</v>
      </c>
      <c r="L27" s="3">
        <f>'Raw Data'!L27</f>
        <v>19520.441379310345</v>
      </c>
      <c r="M27" s="3">
        <f>'Raw Data'!M27</f>
        <v>12563.306896551723</v>
      </c>
      <c r="N27" s="3">
        <f>'Raw Data'!N27</f>
        <v>1633.9551724137932</v>
      </c>
      <c r="O27" s="3">
        <f>'Raw Data'!O27</f>
        <v>333.33103448275864</v>
      </c>
      <c r="P27" s="3">
        <f>'Raw Data'!P27</f>
        <v>14530.593103448276</v>
      </c>
      <c r="Q27" s="5">
        <f>'Raw Data'!Q27</f>
        <v>0.12320744389709906</v>
      </c>
      <c r="R27" s="6">
        <f>'Raw Data'!R27</f>
        <v>264.96224493999796</v>
      </c>
      <c r="S27" s="3">
        <f>'Raw Data'!S27</f>
        <v>1736.4413793103449</v>
      </c>
      <c r="T27" s="7">
        <f>IF(ISBLANK('Raw Data'!T27),Table3[[#This Row],[Operating Profit (USD)]]/Table3[[#This Row],[Total Cost (USD)]],Table2[[#This Row],[Product Profitability (%)]])</f>
        <v>0.11950244335850733</v>
      </c>
      <c r="U27" s="7">
        <f>IF(ISBLANK('Raw Data'!U27),Table3[[#This Row],[Operating Profit (USD)]]/Table3[[#This Row],[Net Revenue, excl. VAT (USD)]],Table2[[#This Row],[Profit Margin (%)]])</f>
        <v>0.10674603174603176</v>
      </c>
    </row>
    <row r="28" spans="1:21" x14ac:dyDescent="0.3">
      <c r="A28" t="s">
        <v>46</v>
      </c>
      <c r="B28" s="15" t="str">
        <f>SUBSTITUTE(TRIM(CLEAN('Raw Data'!B28))," ","")</f>
        <v>0.5</v>
      </c>
      <c r="C28" t="str">
        <f>SUBSTITUTE(TRIM(CLEAN('Raw Data'!C28))," ","")</f>
        <v>Clear</v>
      </c>
      <c r="D28" t="str">
        <f>SUBSTITUTE(TRIM(CLEAN('Raw Data'!D28))," ","")</f>
        <v>Belarus</v>
      </c>
      <c r="E28" t="str">
        <f>IF(ISBLANK('Raw Data'!E28),E27,Table2[[#This Row],[Unit of Measure]])</f>
        <v>pcs</v>
      </c>
      <c r="F28">
        <f>'Raw Data'!F28</f>
        <v>158536</v>
      </c>
      <c r="G28">
        <f>'Raw Data'!G28</f>
        <v>0.34699999999999998</v>
      </c>
      <c r="H28" s="4">
        <f>IF(ISBLANK('Raw Data'!H28),Table3[[#This Row],[Quantity Sold]]*Table3[[#This Row],[Unit Weight (kg)]]/1000,Table2[[#This Row],[Total Weight (tons)]])</f>
        <v>55.011991999999999</v>
      </c>
      <c r="I28" s="5">
        <f>IF(ISBLANK('Raw Data'!I28),Table3[[#This Row],[Net Revenue, excl. VAT (USD)]]/Table3[[#This Row],[Quantity Sold]],Table2[[#This Row],[Average Selling Price per Unit (USD)]])</f>
        <v>9.6551724137931047E-2</v>
      </c>
      <c r="J28" s="6">
        <f>'Raw Data'!J28</f>
        <v>278.2470436251615</v>
      </c>
      <c r="K28" s="3">
        <f>'Raw Data'!K28</f>
        <v>15306.924137931035</v>
      </c>
      <c r="L28" s="3">
        <f>'Raw Data'!L28</f>
        <v>18368.310344827587</v>
      </c>
      <c r="M28" s="3">
        <f>'Raw Data'!M28</f>
        <v>13295.679310344829</v>
      </c>
      <c r="N28" s="3">
        <f>'Raw Data'!N28</f>
        <v>1639.0827586206897</v>
      </c>
      <c r="O28" s="3">
        <f>'Raw Data'!O28</f>
        <v>334.37241379310342</v>
      </c>
      <c r="P28" s="3">
        <f>'Raw Data'!P28</f>
        <v>15269.13448275862</v>
      </c>
      <c r="Q28" s="5">
        <f>'Raw Data'!Q28</f>
        <v>9.6313357740567568E-2</v>
      </c>
      <c r="R28" s="6">
        <f>'Raw Data'!R28</f>
        <v>277.56010876244255</v>
      </c>
      <c r="S28" s="3">
        <f>'Raw Data'!S28</f>
        <v>37.789655172415102</v>
      </c>
      <c r="T28" s="7">
        <f>IF(ISBLANK('Raw Data'!T28),Table3[[#This Row],[Operating Profit (USD)]]/Table3[[#This Row],[Total Cost (USD)]],Table2[[#This Row],[Product Profitability (%)]])</f>
        <v>2.4749048621639865E-3</v>
      </c>
      <c r="U28" s="7">
        <f>IF(ISBLANK('Raw Data'!U28),Table3[[#This Row],[Operating Profit (USD)]]/Table3[[#This Row],[Net Revenue, excl. VAT (USD)]],Table2[[#This Row],[Profit Margin (%)]])</f>
        <v>2.4687948298359403E-3</v>
      </c>
    </row>
    <row r="29" spans="1:21" x14ac:dyDescent="0.3">
      <c r="A29" t="s">
        <v>47</v>
      </c>
      <c r="B29" s="15" t="str">
        <f>SUBSTITUTE(TRIM(CLEAN('Raw Data'!B29))," ","")</f>
        <v>0.5</v>
      </c>
      <c r="C29" t="str">
        <f>SUBSTITUTE(TRIM(CLEAN('Raw Data'!C29))," ","")</f>
        <v>Clear</v>
      </c>
      <c r="D29" t="str">
        <f>SUBSTITUTE(TRIM(CLEAN('Raw Data'!D29))," ","")</f>
        <v>Belarus</v>
      </c>
      <c r="E29" t="str">
        <f>IF(ISBLANK('Raw Data'!E29),E28,Table2[[#This Row],[Unit of Measure]])</f>
        <v>pcs</v>
      </c>
      <c r="F29">
        <f>'Raw Data'!F29</f>
        <v>119340</v>
      </c>
      <c r="G29">
        <f>'Raw Data'!G29</f>
        <v>0.42499999999999999</v>
      </c>
      <c r="H29" s="4">
        <f>IF(ISBLANK('Raw Data'!H29),Table3[[#This Row],[Quantity Sold]]*Table3[[#This Row],[Unit Weight (kg)]]/1000,Table2[[#This Row],[Total Weight (tons)]])</f>
        <v>50.719499999999996</v>
      </c>
      <c r="I29" s="5">
        <f>IF(ISBLANK('Raw Data'!I29),Table3[[#This Row],[Net Revenue, excl. VAT (USD)]]/Table3[[#This Row],[Quantity Sold]],Table2[[#This Row],[Average Selling Price per Unit (USD)]])</f>
        <v>0.11379310344827585</v>
      </c>
      <c r="J29" s="6">
        <f>'Raw Data'!J29</f>
        <v>267.74847870182555</v>
      </c>
      <c r="K29" s="3">
        <f>'Raw Data'!K29</f>
        <v>13580.068965517241</v>
      </c>
      <c r="L29" s="3">
        <f>'Raw Data'!L29</f>
        <v>16296.082758620691</v>
      </c>
      <c r="M29" s="3">
        <f>'Raw Data'!M29</f>
        <v>12568.541379310343</v>
      </c>
      <c r="N29" s="3">
        <f>'Raw Data'!N29</f>
        <v>1511.1827586206898</v>
      </c>
      <c r="O29" s="3">
        <f>'Raw Data'!O29</f>
        <v>308.28620689655173</v>
      </c>
      <c r="P29" s="3">
        <f>'Raw Data'!P29</f>
        <v>14388.010344827586</v>
      </c>
      <c r="Q29" s="5">
        <f>'Raw Data'!Q29</f>
        <v>0.12056318371734193</v>
      </c>
      <c r="R29" s="6">
        <f>'Raw Data'!R29</f>
        <v>283.67807933492219</v>
      </c>
      <c r="S29" s="3">
        <f>'Raw Data'!S29</f>
        <v>-807.94137931034447</v>
      </c>
      <c r="T29" s="7">
        <f>IF(ISBLANK('Raw Data'!T29),Table3[[#This Row],[Operating Profit (USD)]]/Table3[[#This Row],[Total Cost (USD)]],Table2[[#This Row],[Product Profitability (%)]])</f>
        <v>-5.6153794718447309E-2</v>
      </c>
      <c r="U29" s="7">
        <f>IF(ISBLANK('Raw Data'!U29),Table3[[#This Row],[Operating Profit (USD)]]/Table3[[#This Row],[Net Revenue, excl. VAT (USD)]],Table2[[#This Row],[Profit Margin (%)]])</f>
        <v>-5.9494644788762409E-2</v>
      </c>
    </row>
    <row r="30" spans="1:21" x14ac:dyDescent="0.3">
      <c r="A30" s="10" t="s">
        <v>48</v>
      </c>
      <c r="B30" s="15" t="str">
        <f>SUBSTITUTE(TRIM(CLEAN('Raw Data'!B30))," ","")</f>
        <v>0.75</v>
      </c>
      <c r="C30" t="str">
        <f>SUBSTITUTE(TRIM(CLEAN('Raw Data'!C30))," ","")</f>
        <v>Clear</v>
      </c>
      <c r="D30" t="str">
        <f>SUBSTITUTE(TRIM(CLEAN('Raw Data'!D30))," ","")</f>
        <v>Belarus</v>
      </c>
      <c r="E30" t="str">
        <f>IF(ISBLANK('Raw Data'!E30),E29,Table2[[#This Row],[Unit of Measure]])</f>
        <v>pcs</v>
      </c>
      <c r="F30">
        <f>'Raw Data'!F30</f>
        <v>29204</v>
      </c>
      <c r="G30">
        <f>'Raw Data'!G30</f>
        <v>0.63</v>
      </c>
      <c r="H30" s="4">
        <f>IF(ISBLANK('Raw Data'!H30),Table3[[#This Row],[Quantity Sold]]*Table3[[#This Row],[Unit Weight (kg)]]/1000,Table2[[#This Row],[Total Weight (tons)]])</f>
        <v>18.398520000000001</v>
      </c>
      <c r="I30" s="5">
        <f>IF(ISBLANK('Raw Data'!I30),Table3[[#This Row],[Net Revenue, excl. VAT (USD)]]/Table3[[#This Row],[Quantity Sold]],Table2[[#This Row],[Average Selling Price per Unit (USD)]])</f>
        <v>0.17931034482758623</v>
      </c>
      <c r="J30" s="6">
        <f>'Raw Data'!J30</f>
        <v>284.6195949644225</v>
      </c>
      <c r="K30" s="3">
        <f>'Raw Data'!K30</f>
        <v>5236.5793103448277</v>
      </c>
      <c r="L30" s="3">
        <f>'Raw Data'!L30</f>
        <v>6283.8965517241377</v>
      </c>
      <c r="M30" s="3">
        <f>'Raw Data'!M30</f>
        <v>4421.0413793103453</v>
      </c>
      <c r="N30" s="3">
        <f>'Raw Data'!N30</f>
        <v>548.1827586206897</v>
      </c>
      <c r="O30" s="3">
        <f>'Raw Data'!O30</f>
        <v>111.82758620689656</v>
      </c>
      <c r="P30" s="3">
        <f>'Raw Data'!P30</f>
        <v>5081.0517241379312</v>
      </c>
      <c r="Q30" s="5">
        <f>'Raw Data'!Q30</f>
        <v>0.17398478715716789</v>
      </c>
      <c r="R30" s="6">
        <f>'Raw Data'!R30</f>
        <v>276.16632882090141</v>
      </c>
      <c r="S30" s="3">
        <f>'Raw Data'!S30</f>
        <v>155.52758620689679</v>
      </c>
      <c r="T30" s="7">
        <f>IF(ISBLANK('Raw Data'!T30),Table3[[#This Row],[Operating Profit (USD)]]/Table3[[#This Row],[Total Cost (USD)]],Table2[[#This Row],[Product Profitability (%)]])</f>
        <v>3.06093294559571E-2</v>
      </c>
      <c r="U30" s="7">
        <f>IF(ISBLANK('Raw Data'!U30),Table3[[#This Row],[Operating Profit (USD)]]/Table3[[#This Row],[Net Revenue, excl. VAT (USD)]],Table2[[#This Row],[Profit Margin (%)]])</f>
        <v>2.970022546964066E-2</v>
      </c>
    </row>
    <row r="31" spans="1:21" x14ac:dyDescent="0.3">
      <c r="A31" t="s">
        <v>49</v>
      </c>
      <c r="B31" s="15" t="str">
        <f>SUBSTITUTE(TRIM(CLEAN('Raw Data'!B31))," ","")</f>
        <v>0.75</v>
      </c>
      <c r="C31" t="str">
        <f>SUBSTITUTE(TRIM(CLEAN('Raw Data'!C31))," ","")</f>
        <v>Colored</v>
      </c>
      <c r="D31" t="str">
        <f>SUBSTITUTE(TRIM(CLEAN('Raw Data'!D31))," ","")</f>
        <v>Belarus</v>
      </c>
      <c r="E31" t="str">
        <f>IF(ISBLANK('Raw Data'!E31),E30,Table2[[#This Row],[Unit of Measure]])</f>
        <v>pcs</v>
      </c>
      <c r="F31">
        <f>'Raw Data'!F31</f>
        <v>1259104</v>
      </c>
      <c r="G31">
        <f>'Raw Data'!G31</f>
        <v>0.63</v>
      </c>
      <c r="H31" s="4">
        <f>IF(ISBLANK('Raw Data'!H31),Table3[[#This Row],[Quantity Sold]]*Table3[[#This Row],[Unit Weight (kg)]]/1000,Table2[[#This Row],[Total Weight (tons)]])</f>
        <v>793.23552000000007</v>
      </c>
      <c r="I31" s="5">
        <f>IF(ISBLANK('Raw Data'!I31),Table3[[#This Row],[Net Revenue, excl. VAT (USD)]]/Table3[[#This Row],[Quantity Sold]],Table2[[#This Row],[Average Selling Price per Unit (USD)]])</f>
        <v>0.16896551724137931</v>
      </c>
      <c r="J31" s="6">
        <f>'Raw Data'!J31</f>
        <v>268.19923371647508</v>
      </c>
      <c r="K31" s="3">
        <f>'Raw Data'!K31</f>
        <v>212745.15862068965</v>
      </c>
      <c r="L31" s="3">
        <f>'Raw Data'!L31</f>
        <v>255294.24137931038</v>
      </c>
      <c r="M31" s="3">
        <f>'Raw Data'!M31</f>
        <v>157933.04827586209</v>
      </c>
      <c r="N31" s="3">
        <f>'Raw Data'!N31</f>
        <v>23634.365517241382</v>
      </c>
      <c r="O31" s="3">
        <f>'Raw Data'!O31</f>
        <v>4821.3689655172411</v>
      </c>
      <c r="P31" s="3">
        <f>'Raw Data'!P31</f>
        <v>186388.78275862068</v>
      </c>
      <c r="Q31" s="5">
        <f>'Raw Data'!Q31</f>
        <v>0.14803287318491617</v>
      </c>
      <c r="R31" s="6">
        <f>'Raw Data'!R31</f>
        <v>234.97281457923197</v>
      </c>
      <c r="S31" s="3">
        <f>'Raw Data'!S31</f>
        <v>26356.375862068962</v>
      </c>
      <c r="T31" s="7">
        <f>IF(ISBLANK('Raw Data'!T31),Table3[[#This Row],[Operating Profit (USD)]]/Table3[[#This Row],[Total Cost (USD)]],Table2[[#This Row],[Product Profitability (%)]])</f>
        <v>0.14140537575268838</v>
      </c>
      <c r="U31" s="7">
        <f>IF(ISBLANK('Raw Data'!U31),Table3[[#This Row],[Operating Profit (USD)]]/Table3[[#This Row],[Net Revenue, excl. VAT (USD)]],Table2[[#This Row],[Profit Margin (%)]])</f>
        <v>0.12388707706886347</v>
      </c>
    </row>
    <row r="32" spans="1:21" x14ac:dyDescent="0.3">
      <c r="A32" t="s">
        <v>50</v>
      </c>
      <c r="B32" s="15" t="str">
        <f>SUBSTITUTE(TRIM(CLEAN('Raw Data'!B32))," ","")</f>
        <v>0.75</v>
      </c>
      <c r="C32" t="str">
        <f>SUBSTITUTE(TRIM(CLEAN('Raw Data'!C32))," ","")</f>
        <v>Colored</v>
      </c>
      <c r="D32" t="str">
        <f>SUBSTITUTE(TRIM(CLEAN('Raw Data'!D32))," ","")</f>
        <v>Belarus</v>
      </c>
      <c r="E32" t="str">
        <f>IF(ISBLANK('Raw Data'!E32),E31,Table2[[#This Row],[Unit of Measure]])</f>
        <v>pcs</v>
      </c>
      <c r="F32">
        <f>'Raw Data'!F32</f>
        <v>520772</v>
      </c>
      <c r="G32">
        <f>'Raw Data'!G32</f>
        <v>0.63</v>
      </c>
      <c r="H32" s="4">
        <f>IF(ISBLANK('Raw Data'!H32),Table3[[#This Row],[Quantity Sold]]*Table3[[#This Row],[Unit Weight (kg)]]/1000,Table2[[#This Row],[Total Weight (tons)]])</f>
        <v>328.08636000000001</v>
      </c>
      <c r="I32" s="5">
        <f>IF(ISBLANK('Raw Data'!I32),Table3[[#This Row],[Net Revenue, excl. VAT (USD)]]/Table3[[#This Row],[Quantity Sold]],Table2[[#This Row],[Average Selling Price per Unit (USD)]])</f>
        <v>0.16896551724137931</v>
      </c>
      <c r="J32" s="6">
        <f>'Raw Data'!J32</f>
        <v>268.19923371647508</v>
      </c>
      <c r="K32" s="3">
        <f>'Raw Data'!K32</f>
        <v>87992.510344827591</v>
      </c>
      <c r="L32" s="3">
        <f>'Raw Data'!L32</f>
        <v>105591.03448275862</v>
      </c>
      <c r="M32" s="3">
        <f>'Raw Data'!M32</f>
        <v>66153.034482758623</v>
      </c>
      <c r="N32" s="3">
        <f>'Raw Data'!N32</f>
        <v>9775.303448275863</v>
      </c>
      <c r="O32" s="3">
        <f>'Raw Data'!O32</f>
        <v>1994.1448275862072</v>
      </c>
      <c r="P32" s="3">
        <f>'Raw Data'!P32</f>
        <v>77922.482758620681</v>
      </c>
      <c r="Q32" s="5">
        <f>'Raw Data'!Q32</f>
        <v>0.14962878718253034</v>
      </c>
      <c r="R32" s="6">
        <f>'Raw Data'!R32</f>
        <v>237.50601140084177</v>
      </c>
      <c r="S32" s="3">
        <f>'Raw Data'!S32</f>
        <v>10070.027586206903</v>
      </c>
      <c r="T32" s="7">
        <f>IF(ISBLANK('Raw Data'!T32),Table3[[#This Row],[Operating Profit (USD)]]/Table3[[#This Row],[Total Cost (USD)]],Table2[[#This Row],[Product Profitability (%)]])</f>
        <v>0.12923134928080612</v>
      </c>
      <c r="U32" s="7">
        <f>IF(ISBLANK('Raw Data'!U32),Table3[[#This Row],[Operating Profit (USD)]]/Table3[[#This Row],[Net Revenue, excl. VAT (USD)]],Table2[[#This Row],[Profit Margin (%)]])</f>
        <v>0.11444187177686133</v>
      </c>
    </row>
    <row r="33" spans="1:21" x14ac:dyDescent="0.3">
      <c r="A33" t="s">
        <v>51</v>
      </c>
      <c r="B33" s="15" t="str">
        <f>SUBSTITUTE(TRIM(CLEAN('Raw Data'!B33))," ","")</f>
        <v>0.75</v>
      </c>
      <c r="C33" t="str">
        <f>SUBSTITUTE(TRIM(CLEAN('Raw Data'!C33))," ","")</f>
        <v>Colored</v>
      </c>
      <c r="D33" t="str">
        <f>SUBSTITUTE(TRIM(CLEAN('Raw Data'!D33))," ","")</f>
        <v>Belarus</v>
      </c>
      <c r="E33" t="str">
        <f>IF(ISBLANK('Raw Data'!E33),E32,Table2[[#This Row],[Unit of Measure]])</f>
        <v>pcs</v>
      </c>
      <c r="F33">
        <f>'Raw Data'!F33</f>
        <v>105840</v>
      </c>
      <c r="G33">
        <f>'Raw Data'!G33</f>
        <v>0.57499999999999996</v>
      </c>
      <c r="H33" s="4">
        <f>IF(ISBLANK('Raw Data'!H33),Table3[[#This Row],[Quantity Sold]]*Table3[[#This Row],[Unit Weight (kg)]]/1000,Table2[[#This Row],[Total Weight (tons)]])</f>
        <v>60.85799999999999</v>
      </c>
      <c r="I33" s="5">
        <f>IF(ISBLANK('Raw Data'!I33),Table3[[#This Row],[Net Revenue, excl. VAT (USD)]]/Table3[[#This Row],[Quantity Sold]],Table2[[#This Row],[Average Selling Price per Unit (USD)]])</f>
        <v>0.14827586206896551</v>
      </c>
      <c r="J33" s="6">
        <f>'Raw Data'!J33</f>
        <v>257.87106446776619</v>
      </c>
      <c r="K33" s="3">
        <f>'Raw Data'!K33</f>
        <v>15693.51724137931</v>
      </c>
      <c r="L33" s="3">
        <f>'Raw Data'!L33</f>
        <v>18832.224137931033</v>
      </c>
      <c r="M33" s="3">
        <f>'Raw Data'!M33</f>
        <v>12411.034482758621</v>
      </c>
      <c r="N33" s="3">
        <f>'Raw Data'!N33</f>
        <v>1813.2620689655173</v>
      </c>
      <c r="O33" s="3">
        <f>'Raw Data'!O33</f>
        <v>369.90689655172417</v>
      </c>
      <c r="P33" s="3">
        <f>'Raw Data'!P33</f>
        <v>14594.203448275863</v>
      </c>
      <c r="Q33" s="5">
        <f>'Raw Data'!Q33</f>
        <v>0.13788929939792011</v>
      </c>
      <c r="R33" s="6">
        <f>'Raw Data'!R33</f>
        <v>239.80747721377412</v>
      </c>
      <c r="S33" s="3">
        <f>'Raw Data'!S33</f>
        <v>1099.3137931034464</v>
      </c>
      <c r="T33" s="7">
        <f>IF(ISBLANK('Raw Data'!T33),Table3[[#This Row],[Operating Profit (USD)]]/Table3[[#This Row],[Total Cost (USD)]],Table2[[#This Row],[Product Profitability (%)]])</f>
        <v>7.5325371268091898E-2</v>
      </c>
      <c r="U33" s="7">
        <f>IF(ISBLANK('Raw Data'!U33),Table3[[#This Row],[Operating Profit (USD)]]/Table3[[#This Row],[Net Revenue, excl. VAT (USD)]],Table2[[#This Row],[Profit Margin (%)]])</f>
        <v>7.0048911037283015E-2</v>
      </c>
    </row>
    <row r="34" spans="1:21" x14ac:dyDescent="0.3">
      <c r="A34" s="10" t="s">
        <v>27</v>
      </c>
      <c r="B34" s="15" t="str">
        <f>SUBSTITUTE(TRIM(CLEAN('Raw Data'!B34))," ","")</f>
        <v>0.75</v>
      </c>
      <c r="C34" t="str">
        <f>SUBSTITUTE(TRIM(CLEAN('Raw Data'!C34))," ","")</f>
        <v>Clear</v>
      </c>
      <c r="D34" t="str">
        <f>SUBSTITUTE(TRIM(CLEAN('Raw Data'!D34))," ","")</f>
        <v>Belarus</v>
      </c>
      <c r="E34" t="str">
        <f>IF(ISBLANK('Raw Data'!E34),E33,Table2[[#This Row],[Unit of Measure]])</f>
        <v>pcs</v>
      </c>
      <c r="F34">
        <f>'Raw Data'!F34</f>
        <v>304200</v>
      </c>
      <c r="G34">
        <f>'Raw Data'!G34</f>
        <v>0.7</v>
      </c>
      <c r="H34" s="4">
        <f>IF(ISBLANK('Raw Data'!H34),Table3[[#This Row],[Quantity Sold]]*Table3[[#This Row],[Unit Weight (kg)]]/1000,Table2[[#This Row],[Total Weight (tons)]])</f>
        <v>212.94</v>
      </c>
      <c r="I34" s="5">
        <f>IF(ISBLANK('Raw Data'!I34),Table3[[#This Row],[Net Revenue, excl. VAT (USD)]]/Table3[[#This Row],[Quantity Sold]],Table2[[#This Row],[Average Selling Price per Unit (USD)]])</f>
        <v>0.19655172413793101</v>
      </c>
      <c r="J34" s="6">
        <f>'Raw Data'!J34</f>
        <v>280.78817733990149</v>
      </c>
      <c r="K34" s="3">
        <f>'Raw Data'!K34</f>
        <v>59791.034482758623</v>
      </c>
      <c r="L34" s="3">
        <f>'Raw Data'!L34</f>
        <v>71749.241379310348</v>
      </c>
      <c r="M34" s="3">
        <f>'Raw Data'!M34</f>
        <v>52159.348275862067</v>
      </c>
      <c r="N34" s="3">
        <f>'Raw Data'!N34</f>
        <v>6344.5379310344833</v>
      </c>
      <c r="O34" s="3">
        <f>'Raw Data'!O34</f>
        <v>1294.3068965517241</v>
      </c>
      <c r="P34" s="3">
        <f>'Raw Data'!P34</f>
        <v>59798.19310344827</v>
      </c>
      <c r="Q34" s="5">
        <f>'Raw Data'!Q34</f>
        <v>0.19657525675032306</v>
      </c>
      <c r="R34" s="6">
        <f>'Raw Data'!R34</f>
        <v>280.82179535760434</v>
      </c>
      <c r="S34" s="3">
        <f>'Raw Data'!S34</f>
        <v>-7.1586206896483482</v>
      </c>
      <c r="T34" s="7">
        <f>IF(ISBLANK('Raw Data'!T34),Table3[[#This Row],[Operating Profit (USD)]]/Table3[[#This Row],[Total Cost (USD)]],Table2[[#This Row],[Product Profitability (%)]])</f>
        <v>-1.1971299328834645E-4</v>
      </c>
      <c r="U34" s="7">
        <f>IF(ISBLANK('Raw Data'!U34),Table3[[#This Row],[Operating Profit (USD)]]/Table3[[#This Row],[Net Revenue, excl. VAT (USD)]],Table2[[#This Row],[Profit Margin (%)]])</f>
        <v>-1.1972732620494487E-4</v>
      </c>
    </row>
    <row r="35" spans="1:21" x14ac:dyDescent="0.3">
      <c r="A35" s="10" t="s">
        <v>27</v>
      </c>
      <c r="B35" s="15" t="str">
        <f>SUBSTITUTE(TRIM(CLEAN('Raw Data'!B35))," ","")</f>
        <v>0.75</v>
      </c>
      <c r="C35" t="str">
        <f>SUBSTITUTE(TRIM(CLEAN('Raw Data'!C35))," ","")</f>
        <v>Colored</v>
      </c>
      <c r="D35" t="str">
        <f>SUBSTITUTE(TRIM(CLEAN('Raw Data'!D35))," ","")</f>
        <v>Belarus</v>
      </c>
      <c r="E35" t="str">
        <f>IF(ISBLANK('Raw Data'!E35),E34,Table2[[#This Row],[Unit of Measure]])</f>
        <v>pcs</v>
      </c>
      <c r="F35">
        <f>'Raw Data'!F35</f>
        <v>82800</v>
      </c>
      <c r="G35">
        <f>'Raw Data'!G35</f>
        <v>0.7</v>
      </c>
      <c r="H35" s="4">
        <f>IF(ISBLANK('Raw Data'!H35),Table3[[#This Row],[Quantity Sold]]*Table3[[#This Row],[Unit Weight (kg)]]/1000,Table2[[#This Row],[Total Weight (tons)]])</f>
        <v>57.959999999999994</v>
      </c>
      <c r="I35" s="5">
        <f>IF(ISBLANK('Raw Data'!I35),Table3[[#This Row],[Net Revenue, excl. VAT (USD)]]/Table3[[#This Row],[Quantity Sold]],Table2[[#This Row],[Average Selling Price per Unit (USD)]])</f>
        <v>0.19655172413793101</v>
      </c>
      <c r="J35" s="6">
        <f>'Raw Data'!J35</f>
        <v>280.78817733990149</v>
      </c>
      <c r="K35" s="3">
        <f>'Raw Data'!K35</f>
        <v>16274.48275862069</v>
      </c>
      <c r="L35" s="3">
        <f>'Raw Data'!L35</f>
        <v>19529.379310344826</v>
      </c>
      <c r="M35" s="3">
        <f>'Raw Data'!M35</f>
        <v>11945.603448275862</v>
      </c>
      <c r="N35" s="3">
        <f>'Raw Data'!N35</f>
        <v>1726.9172413793106</v>
      </c>
      <c r="O35" s="3">
        <f>'Raw Data'!O35</f>
        <v>352.29310344827587</v>
      </c>
      <c r="P35" s="3">
        <f>'Raw Data'!P35</f>
        <v>14024.813793103449</v>
      </c>
      <c r="Q35" s="5">
        <f>'Raw Data'!Q35</f>
        <v>0.16938180909545228</v>
      </c>
      <c r="R35" s="6">
        <f>'Raw Data'!R35</f>
        <v>241.97401299350329</v>
      </c>
      <c r="S35" s="3">
        <f>'Raw Data'!S35</f>
        <v>2249.6689655172418</v>
      </c>
      <c r="T35" s="7">
        <f>IF(ISBLANK('Raw Data'!T35),Table3[[#This Row],[Operating Profit (USD)]]/Table3[[#This Row],[Total Cost (USD)]],Table2[[#This Row],[Product Profitability (%)]])</f>
        <v>0.16040633399521442</v>
      </c>
      <c r="U35" s="7">
        <f>IF(ISBLANK('Raw Data'!U35),Table3[[#This Row],[Operating Profit (USD)]]/Table3[[#This Row],[Net Revenue, excl. VAT (USD)]],Table2[[#This Row],[Profit Margin (%)]])</f>
        <v>0.13823290109331302</v>
      </c>
    </row>
    <row r="36" spans="1:21" x14ac:dyDescent="0.3">
      <c r="A36" t="s">
        <v>52</v>
      </c>
      <c r="B36" s="15" t="str">
        <f>SUBSTITUTE(TRIM(CLEAN('Raw Data'!B36))," ","")</f>
        <v>0.75</v>
      </c>
      <c r="C36" t="str">
        <f>SUBSTITUTE(TRIM(CLEAN('Raw Data'!C36))," ","")</f>
        <v>Colored</v>
      </c>
      <c r="D36" t="str">
        <f>SUBSTITUTE(TRIM(CLEAN('Raw Data'!D36))," ","")</f>
        <v>Belarus</v>
      </c>
      <c r="E36" t="str">
        <f>IF(ISBLANK('Raw Data'!E36),E35,Table2[[#This Row],[Unit of Measure]])</f>
        <v>pcs</v>
      </c>
      <c r="F36">
        <f>'Raw Data'!F36</f>
        <v>17550</v>
      </c>
      <c r="G36">
        <f>'Raw Data'!G36</f>
        <v>0.47199999999999998</v>
      </c>
      <c r="H36" s="4">
        <f>IF(ISBLANK('Raw Data'!H36),Table3[[#This Row],[Quantity Sold]]*Table3[[#This Row],[Unit Weight (kg)]]/1000,Table2[[#This Row],[Total Weight (tons)]])</f>
        <v>8.2835999999999999</v>
      </c>
      <c r="I36" s="5">
        <f>IF(ISBLANK('Raw Data'!I36),Table3[[#This Row],[Net Revenue, excl. VAT (USD)]]/Table3[[#This Row],[Quantity Sold]],Table2[[#This Row],[Average Selling Price per Unit (USD)]])</f>
        <v>0.12758620689655173</v>
      </c>
      <c r="J36" s="6">
        <f>'Raw Data'!J36</f>
        <v>270.30976037405026</v>
      </c>
      <c r="K36" s="3">
        <f>'Raw Data'!K36</f>
        <v>2239.1379310344828</v>
      </c>
      <c r="L36" s="3">
        <f>'Raw Data'!L36</f>
        <v>2686.9655172413795</v>
      </c>
      <c r="M36" s="3">
        <f>'Raw Data'!M36</f>
        <v>1822.8068965517243</v>
      </c>
      <c r="N36" s="3">
        <f>'Raw Data'!N36</f>
        <v>246.81034482758622</v>
      </c>
      <c r="O36" s="3">
        <f>'Raw Data'!O36</f>
        <v>50.348275862068967</v>
      </c>
      <c r="P36" s="3">
        <f>'Raw Data'!P36</f>
        <v>2119.9655172413795</v>
      </c>
      <c r="Q36" s="5">
        <f>'Raw Data'!Q36</f>
        <v>0.12079575596816977</v>
      </c>
      <c r="R36" s="6">
        <f>'Raw Data'!R36</f>
        <v>255.92321179696984</v>
      </c>
      <c r="S36" s="3">
        <f>'Raw Data'!S36</f>
        <v>119.17241379310326</v>
      </c>
      <c r="T36" s="7">
        <f>IF(ISBLANK('Raw Data'!T36),Table3[[#This Row],[Operating Profit (USD)]]/Table3[[#This Row],[Total Cost (USD)]],Table2[[#This Row],[Product Profitability (%)]])</f>
        <v>5.6214317083882206E-2</v>
      </c>
      <c r="U36" s="7">
        <f>IF(ISBLANK('Raw Data'!U36),Table3[[#This Row],[Operating Profit (USD)]]/Table3[[#This Row],[Net Revenue, excl. VAT (USD)]],Table2[[#This Row],[Profit Margin (%)]])</f>
        <v>5.3222453222453135E-2</v>
      </c>
    </row>
    <row r="37" spans="1:21" x14ac:dyDescent="0.3">
      <c r="A37" t="s">
        <v>23</v>
      </c>
      <c r="B37" s="15" t="str">
        <f>SUBSTITUTE(TRIM(CLEAN('Raw Data'!B37))," ","")</f>
        <v>0.7</v>
      </c>
      <c r="C37" t="str">
        <f>SUBSTITUTE(TRIM(CLEAN('Raw Data'!C37))," ","")</f>
        <v>Clear</v>
      </c>
      <c r="D37" t="str">
        <f>SUBSTITUTE(TRIM(CLEAN('Raw Data'!D37))," ","")</f>
        <v>Belarus</v>
      </c>
      <c r="E37" t="str">
        <f>IF(ISBLANK('Raw Data'!E37),E36,Table2[[#This Row],[Unit of Measure]])</f>
        <v>pcs</v>
      </c>
      <c r="F37">
        <f>'Raw Data'!F37</f>
        <v>74880</v>
      </c>
      <c r="G37">
        <f>'Raw Data'!G37</f>
        <v>0.45</v>
      </c>
      <c r="H37" s="4">
        <f>IF(ISBLANK('Raw Data'!H37),Table3[[#This Row],[Quantity Sold]]*Table3[[#This Row],[Unit Weight (kg)]]/1000,Table2[[#This Row],[Total Weight (tons)]])</f>
        <v>33.695999999999998</v>
      </c>
      <c r="I37" s="5">
        <f>IF(ISBLANK('Raw Data'!I37),Table3[[#This Row],[Net Revenue, excl. VAT (USD)]]/Table3[[#This Row],[Quantity Sold]],Table2[[#This Row],[Average Selling Price per Unit (USD)]])</f>
        <v>0.12413793103448276</v>
      </c>
      <c r="J37" s="6">
        <f>'Raw Data'!J37</f>
        <v>275.86206896551727</v>
      </c>
      <c r="K37" s="3">
        <f>'Raw Data'!K37</f>
        <v>9295.4482758620688</v>
      </c>
      <c r="L37" s="3">
        <f>'Raw Data'!L37</f>
        <v>11154.537931034483</v>
      </c>
      <c r="M37" s="3">
        <f>'Raw Data'!M37</f>
        <v>7953.5724137931038</v>
      </c>
      <c r="N37" s="3">
        <f>'Raw Data'!N37</f>
        <v>1003.9655172413793</v>
      </c>
      <c r="O37" s="3">
        <f>'Raw Data'!O37</f>
        <v>204.80689655172415</v>
      </c>
      <c r="P37" s="3">
        <f>'Raw Data'!P37</f>
        <v>9162.3448275862065</v>
      </c>
      <c r="Q37" s="5">
        <f>'Raw Data'!Q37</f>
        <v>0.12236037430002948</v>
      </c>
      <c r="R37" s="6">
        <f>'Raw Data'!R37</f>
        <v>271.9119428889544</v>
      </c>
      <c r="S37" s="3">
        <f>'Raw Data'!S37</f>
        <v>133.10344827586206</v>
      </c>
      <c r="T37" s="7">
        <f>IF(ISBLANK('Raw Data'!T37),Table3[[#This Row],[Operating Profit (USD)]]/Table3[[#This Row],[Total Cost (USD)]],Table2[[#This Row],[Product Profitability (%)]])</f>
        <v>1.452722537522393E-2</v>
      </c>
      <c r="U37" s="7">
        <f>IF(ISBLANK('Raw Data'!U37),Table3[[#This Row],[Operating Profit (USD)]]/Table3[[#This Row],[Net Revenue, excl. VAT (USD)]],Table2[[#This Row],[Profit Margin (%)]])</f>
        <v>1.4319207027540361E-2</v>
      </c>
    </row>
    <row r="38" spans="1:21" x14ac:dyDescent="0.3">
      <c r="A38" t="s">
        <v>53</v>
      </c>
      <c r="B38" s="15" t="str">
        <f>SUBSTITUTE(TRIM(CLEAN('Raw Data'!B38))," ","")</f>
        <v>0.7</v>
      </c>
      <c r="C38" t="str">
        <f>SUBSTITUTE(TRIM(CLEAN('Raw Data'!C38))," ","")</f>
        <v>Colored</v>
      </c>
      <c r="D38" t="str">
        <f>SUBSTITUTE(TRIM(CLEAN('Raw Data'!D38))," ","")</f>
        <v>Belarus</v>
      </c>
      <c r="E38" t="str">
        <f>IF(ISBLANK('Raw Data'!E38),E37,Table2[[#This Row],[Unit of Measure]])</f>
        <v>pcs</v>
      </c>
      <c r="F38">
        <f>'Raw Data'!F38</f>
        <v>146250</v>
      </c>
      <c r="G38">
        <f>'Raw Data'!G38</f>
        <v>0.57999999999999996</v>
      </c>
      <c r="H38" s="4">
        <f>IF(ISBLANK('Raw Data'!H38),Table3[[#This Row],[Quantity Sold]]*Table3[[#This Row],[Unit Weight (kg)]]/1000,Table2[[#This Row],[Total Weight (tons)]])</f>
        <v>84.825000000000003</v>
      </c>
      <c r="I38" s="5">
        <f>IF(ISBLANK('Raw Data'!I38),Table3[[#This Row],[Net Revenue, excl. VAT (USD)]]/Table3[[#This Row],[Quantity Sold]],Table2[[#This Row],[Average Selling Price per Unit (USD)]])</f>
        <v>0.14827586206896551</v>
      </c>
      <c r="J38" s="6">
        <f>'Raw Data'!J38</f>
        <v>255.64803804994054</v>
      </c>
      <c r="K38" s="3">
        <f>'Raw Data'!K38</f>
        <v>21685.344827586207</v>
      </c>
      <c r="L38" s="3">
        <f>'Raw Data'!L38</f>
        <v>26022.413793103449</v>
      </c>
      <c r="M38" s="3">
        <f>'Raw Data'!M38</f>
        <v>16832.844827586207</v>
      </c>
      <c r="N38" s="3">
        <f>'Raw Data'!N38</f>
        <v>2527.344827586207</v>
      </c>
      <c r="O38" s="3">
        <f>'Raw Data'!O38</f>
        <v>515.58620689655174</v>
      </c>
      <c r="P38" s="3">
        <f>'Raw Data'!P38</f>
        <v>19875.775862068967</v>
      </c>
      <c r="Q38" s="5">
        <f>'Raw Data'!Q38</f>
        <v>0.13590274093722368</v>
      </c>
      <c r="R38" s="6">
        <f>'Raw Data'!R38</f>
        <v>234.31507058142017</v>
      </c>
      <c r="S38" s="3">
        <f>'Raw Data'!S38</f>
        <v>1809.5689655172414</v>
      </c>
      <c r="T38" s="7">
        <f>IF(ISBLANK('Raw Data'!T38),Table3[[#This Row],[Operating Profit (USD)]]/Table3[[#This Row],[Total Cost (USD)]],Table2[[#This Row],[Product Profitability (%)]])</f>
        <v>9.1043941030278588E-2</v>
      </c>
      <c r="U38" s="7">
        <f>IF(ISBLANK('Raw Data'!U38),Table3[[#This Row],[Operating Profit (USD)]]/Table3[[#This Row],[Net Revenue, excl. VAT (USD)]],Table2[[#This Row],[Profit Margin (%)]])</f>
        <v>8.3446630888491358E-2</v>
      </c>
    </row>
    <row r="39" spans="1:21" x14ac:dyDescent="0.3">
      <c r="A39" t="s">
        <v>54</v>
      </c>
      <c r="B39" s="15" t="str">
        <f>SUBSTITUTE(TRIM(CLEAN('Raw Data'!B39))," ","")</f>
        <v>0.7</v>
      </c>
      <c r="C39" t="str">
        <f>SUBSTITUTE(TRIM(CLEAN('Raw Data'!C39))," ","")</f>
        <v>Clear</v>
      </c>
      <c r="D39" t="str">
        <f>SUBSTITUTE(TRIM(CLEAN('Raw Data'!D39))," ","")</f>
        <v>Belarus</v>
      </c>
      <c r="E39" t="str">
        <f>IF(ISBLANK('Raw Data'!E39),E38,Table2[[#This Row],[Unit of Measure]])</f>
        <v>pcs</v>
      </c>
      <c r="F39">
        <f>'Raw Data'!F39</f>
        <v>135373</v>
      </c>
      <c r="G39">
        <f>'Raw Data'!G39</f>
        <v>0.438</v>
      </c>
      <c r="H39" s="4">
        <f>IF(ISBLANK('Raw Data'!H39),Table3[[#This Row],[Quantity Sold]]*Table3[[#This Row],[Unit Weight (kg)]]/1000,Table2[[#This Row],[Total Weight (tons)]])</f>
        <v>59.293374</v>
      </c>
      <c r="I39" s="5">
        <f>IF(ISBLANK('Raw Data'!I39),Table3[[#This Row],[Net Revenue, excl. VAT (USD)]]/Table3[[#This Row],[Quantity Sold]],Table2[[#This Row],[Average Selling Price per Unit (USD)]])</f>
        <v>0.1103448275862069</v>
      </c>
      <c r="J39" s="6">
        <f>'Raw Data'!J39</f>
        <v>251.92883010549519</v>
      </c>
      <c r="K39" s="3">
        <f>'Raw Data'!K39</f>
        <v>14937.710344827587</v>
      </c>
      <c r="L39" s="3">
        <f>'Raw Data'!L39</f>
        <v>17925.251724137932</v>
      </c>
      <c r="M39" s="3">
        <f>'Raw Data'!M39</f>
        <v>13303.796551724139</v>
      </c>
      <c r="N39" s="3">
        <f>'Raw Data'!N39</f>
        <v>1766.641379310345</v>
      </c>
      <c r="O39" s="3">
        <f>'Raw Data'!O39</f>
        <v>360.39310344827589</v>
      </c>
      <c r="P39" s="3">
        <f>'Raw Data'!P39</f>
        <v>15430.831034482761</v>
      </c>
      <c r="Q39" s="5">
        <f>'Raw Data'!Q39</f>
        <v>0.11398750884210854</v>
      </c>
      <c r="R39" s="6">
        <f>'Raw Data'!R39</f>
        <v>260.24545397741679</v>
      </c>
      <c r="S39" s="3">
        <f>'Raw Data'!S39</f>
        <v>-493.12068965517341</v>
      </c>
      <c r="T39" s="7">
        <f>IF(ISBLANK('Raw Data'!T39),Table3[[#This Row],[Operating Profit (USD)]]/Table3[[#This Row],[Total Cost (USD)]],Table2[[#This Row],[Product Profitability (%)]])</f>
        <v>-3.1956845911488056E-2</v>
      </c>
      <c r="U39" s="7">
        <f>IF(ISBLANK('Raw Data'!U39),Table3[[#This Row],[Operating Profit (USD)]]/Table3[[#This Row],[Net Revenue, excl. VAT (USD)]],Table2[[#This Row],[Profit Margin (%)]])</f>
        <v>-3.3011798881608656E-2</v>
      </c>
    </row>
    <row r="40" spans="1:21" x14ac:dyDescent="0.3">
      <c r="A40" s="10" t="s">
        <v>55</v>
      </c>
      <c r="B40" s="15" t="str">
        <f>SUBSTITUTE(TRIM(CLEAN('Raw Data'!B40))," ","")</f>
        <v>0.7</v>
      </c>
      <c r="C40" t="str">
        <f>SUBSTITUTE(TRIM(CLEAN('Raw Data'!C40))," ","")</f>
        <v>Colored</v>
      </c>
      <c r="D40" t="str">
        <f>SUBSTITUTE(TRIM(CLEAN('Raw Data'!D40))," ","")</f>
        <v>Belarus</v>
      </c>
      <c r="E40" t="str">
        <f>IF(ISBLANK('Raw Data'!E40),E39,Table2[[#This Row],[Unit of Measure]])</f>
        <v>pcs</v>
      </c>
      <c r="F40">
        <f>'Raw Data'!F40</f>
        <v>536599</v>
      </c>
      <c r="G40">
        <f>'Raw Data'!G40</f>
        <v>0.438</v>
      </c>
      <c r="H40" s="4">
        <f>IF(ISBLANK('Raw Data'!H40),Table3[[#This Row],[Quantity Sold]]*Table3[[#This Row],[Unit Weight (kg)]]/1000,Table2[[#This Row],[Total Weight (tons)]])</f>
        <v>235.030362</v>
      </c>
      <c r="I40" s="5">
        <f>IF(ISBLANK('Raw Data'!I40),Table3[[#This Row],[Net Revenue, excl. VAT (USD)]]/Table3[[#This Row],[Quantity Sold]],Table2[[#This Row],[Average Selling Price per Unit (USD)]])</f>
        <v>0.11034482758620691</v>
      </c>
      <c r="J40" s="6">
        <f>'Raw Data'!J40</f>
        <v>251.92883010549519</v>
      </c>
      <c r="K40" s="3">
        <f>'Raw Data'!K40</f>
        <v>59210.924137931033</v>
      </c>
      <c r="L40" s="3">
        <f>'Raw Data'!L40</f>
        <v>71053.100000000006</v>
      </c>
      <c r="M40" s="3">
        <f>'Raw Data'!M40</f>
        <v>45073</v>
      </c>
      <c r="N40" s="3">
        <f>'Raw Data'!N40</f>
        <v>7002.7000000000007</v>
      </c>
      <c r="O40" s="3">
        <f>'Raw Data'!O40</f>
        <v>1428.5620689655173</v>
      </c>
      <c r="P40" s="3">
        <f>'Raw Data'!P40</f>
        <v>53504.262068965516</v>
      </c>
      <c r="Q40" s="5">
        <f>'Raw Data'!Q40</f>
        <v>9.9709954861946282E-2</v>
      </c>
      <c r="R40" s="6">
        <f>'Raw Data'!R40</f>
        <v>227.64829877156689</v>
      </c>
      <c r="S40" s="3">
        <f>'Raw Data'!S40</f>
        <v>5706.6620689655201</v>
      </c>
      <c r="T40" s="7">
        <f>IF(ISBLANK('Raw Data'!T40),Table3[[#This Row],[Operating Profit (USD)]]/Table3[[#This Row],[Total Cost (USD)]],Table2[[#This Row],[Product Profitability (%)]])</f>
        <v>0.10665808382909366</v>
      </c>
      <c r="U40" s="7">
        <f>IF(ISBLANK('Raw Data'!U40),Table3[[#This Row],[Operating Profit (USD)]]/Table3[[#This Row],[Net Revenue, excl. VAT (USD)]],Table2[[#This Row],[Profit Margin (%)]])</f>
        <v>9.6378534063611798E-2</v>
      </c>
    </row>
    <row r="41" spans="1:21" x14ac:dyDescent="0.3">
      <c r="A41" t="s">
        <v>56</v>
      </c>
      <c r="B41" s="15" t="str">
        <f>SUBSTITUTE(TRIM(CLEAN('Raw Data'!B41))," ","")</f>
        <v>0.7</v>
      </c>
      <c r="C41" t="str">
        <f>SUBSTITUTE(TRIM(CLEAN('Raw Data'!C41))," ","")</f>
        <v>Colored</v>
      </c>
      <c r="D41" t="str">
        <f>SUBSTITUTE(TRIM(CLEAN('Raw Data'!D41))," ","")</f>
        <v>Belarus</v>
      </c>
      <c r="E41" t="str">
        <f>IF(ISBLANK('Raw Data'!E41),E40,Table2[[#This Row],[Unit of Measure]])</f>
        <v>pcs</v>
      </c>
      <c r="F41">
        <f>'Raw Data'!F41</f>
        <v>37440</v>
      </c>
      <c r="G41">
        <f>'Raw Data'!G41</f>
        <v>0.45</v>
      </c>
      <c r="H41" s="4">
        <f>IF(ISBLANK('Raw Data'!H41),Table3[[#This Row],[Quantity Sold]]*Table3[[#This Row],[Unit Weight (kg)]]/1000,Table2[[#This Row],[Total Weight (tons)]])</f>
        <v>16.847999999999999</v>
      </c>
      <c r="I41" s="5">
        <f>IF(ISBLANK('Raw Data'!I41),Table3[[#This Row],[Net Revenue, excl. VAT (USD)]]/Table3[[#This Row],[Quantity Sold]],Table2[[#This Row],[Average Selling Price per Unit (USD)]])</f>
        <v>0.12413793103448276</v>
      </c>
      <c r="J41" s="6">
        <f>'Raw Data'!J41</f>
        <v>275.86206896551727</v>
      </c>
      <c r="K41" s="3">
        <f>'Raw Data'!K41</f>
        <v>4647.7241379310344</v>
      </c>
      <c r="L41" s="3">
        <f>'Raw Data'!L41</f>
        <v>5577.2689655172417</v>
      </c>
      <c r="M41" s="3">
        <f>'Raw Data'!M41</f>
        <v>3558.4172413793103</v>
      </c>
      <c r="N41" s="3">
        <f>'Raw Data'!N41</f>
        <v>501.98275862068965</v>
      </c>
      <c r="O41" s="3">
        <f>'Raw Data'!O41</f>
        <v>102.40344827586208</v>
      </c>
      <c r="P41" s="3">
        <f>'Raw Data'!P41</f>
        <v>4162.8034482758621</v>
      </c>
      <c r="Q41" s="5">
        <f>'Raw Data'!Q41</f>
        <v>0.11118598953728263</v>
      </c>
      <c r="R41" s="6">
        <f>'Raw Data'!R41</f>
        <v>247.07997674951696</v>
      </c>
      <c r="S41" s="3">
        <f>'Raw Data'!S41</f>
        <v>484.92068965517257</v>
      </c>
      <c r="T41" s="7">
        <f>IF(ISBLANK('Raw Data'!T41),Table3[[#This Row],[Operating Profit (USD)]]/Table3[[#This Row],[Total Cost (USD)]],Table2[[#This Row],[Product Profitability (%)]])</f>
        <v>0.11648897087755024</v>
      </c>
      <c r="U41" s="7">
        <f>IF(ISBLANK('Raw Data'!U41),Table3[[#This Row],[Operating Profit (USD)]]/Table3[[#This Row],[Net Revenue, excl. VAT (USD)]],Table2[[#This Row],[Profit Margin (%)]])</f>
        <v>0.10433508428300098</v>
      </c>
    </row>
    <row r="42" spans="1:21" x14ac:dyDescent="0.3">
      <c r="A42" t="s">
        <v>57</v>
      </c>
      <c r="B42" s="15" t="str">
        <f>SUBSTITUTE(TRIM(CLEAN('Raw Data'!B42))," ","")</f>
        <v>0.7</v>
      </c>
      <c r="C42" t="str">
        <f>SUBSTITUTE(TRIM(CLEAN('Raw Data'!C42))," ","")</f>
        <v>Colored</v>
      </c>
      <c r="D42" t="str">
        <f>SUBSTITUTE(TRIM(CLEAN('Raw Data'!D42))," ","")</f>
        <v>Belarus</v>
      </c>
      <c r="E42" t="str">
        <f>IF(ISBLANK('Raw Data'!E42),E41,Table2[[#This Row],[Unit of Measure]])</f>
        <v>pcs</v>
      </c>
      <c r="F42">
        <f>'Raw Data'!F42</f>
        <v>31140</v>
      </c>
      <c r="G42">
        <f>'Raw Data'!G42</f>
        <v>0.5</v>
      </c>
      <c r="H42" s="4">
        <f>IF(ISBLANK('Raw Data'!H42),Table3[[#This Row],[Quantity Sold]]*Table3[[#This Row],[Unit Weight (kg)]]/1000,Table2[[#This Row],[Total Weight (tons)]])</f>
        <v>15.57</v>
      </c>
      <c r="I42" s="5">
        <f>IF(ISBLANK('Raw Data'!I42),Table3[[#This Row],[Net Revenue, excl. VAT (USD)]]/Table3[[#This Row],[Quantity Sold]],Table2[[#This Row],[Average Selling Price per Unit (USD)]])</f>
        <v>0.14137931034482759</v>
      </c>
      <c r="J42" s="6">
        <f>'Raw Data'!J42</f>
        <v>282.75862068965517</v>
      </c>
      <c r="K42" s="3">
        <f>'Raw Data'!K42</f>
        <v>4402.5517241379312</v>
      </c>
      <c r="L42" s="3">
        <f>'Raw Data'!L42</f>
        <v>5283.062068965517</v>
      </c>
      <c r="M42" s="3">
        <f>'Raw Data'!M42</f>
        <v>3541.1241379310345</v>
      </c>
      <c r="N42" s="3">
        <f>'Raw Data'!N42</f>
        <v>463.90689655172412</v>
      </c>
      <c r="O42" s="3">
        <f>'Raw Data'!O42</f>
        <v>94.637931034482762</v>
      </c>
      <c r="P42" s="3">
        <f>'Raw Data'!P42</f>
        <v>4099.6689655172422</v>
      </c>
      <c r="Q42" s="5">
        <f>'Raw Data'!Q42</f>
        <v>0.1316528248399885</v>
      </c>
      <c r="R42" s="6">
        <f>'Raw Data'!R42</f>
        <v>263.30564967997697</v>
      </c>
      <c r="S42" s="3">
        <f>'Raw Data'!S42</f>
        <v>302.88275862068923</v>
      </c>
      <c r="T42" s="7">
        <f>IF(ISBLANK('Raw Data'!T42),Table3[[#This Row],[Operating Profit (USD)]]/Table3[[#This Row],[Total Cost (USD)]],Table2[[#This Row],[Product Profitability (%)]])</f>
        <v>7.387980863046964E-2</v>
      </c>
      <c r="U42" s="7">
        <f>IF(ISBLANK('Raw Data'!U42),Table3[[#This Row],[Operating Profit (USD)]]/Table3[[#This Row],[Net Revenue, excl. VAT (USD)]],Table2[[#This Row],[Profit Margin (%)]])</f>
        <v>6.8797092595203307E-2</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53B56-E70D-4321-8DA7-95E55E3C67D1}">
  <sheetPr>
    <pageSetUpPr fitToPage="1"/>
  </sheetPr>
  <dimension ref="A1:Q80"/>
  <sheetViews>
    <sheetView tabSelected="1" topLeftCell="A36" zoomScale="61" zoomScaleNormal="61" workbookViewId="0">
      <selection activeCell="V54" sqref="V54"/>
    </sheetView>
  </sheetViews>
  <sheetFormatPr defaultRowHeight="14.4" x14ac:dyDescent="0.3"/>
  <cols>
    <col min="8" max="8" width="11.44140625" customWidth="1"/>
    <col min="9" max="9" width="9" customWidth="1"/>
  </cols>
  <sheetData>
    <row r="1" spans="1:17" x14ac:dyDescent="0.3">
      <c r="A1" s="20"/>
      <c r="B1" s="20"/>
      <c r="C1" s="20"/>
      <c r="D1" s="20"/>
      <c r="E1" s="20"/>
      <c r="F1" s="20"/>
      <c r="G1" s="20"/>
      <c r="H1" s="20"/>
      <c r="I1" s="20"/>
      <c r="J1" s="20"/>
      <c r="K1" s="20"/>
      <c r="L1" s="20"/>
      <c r="M1" s="20"/>
      <c r="N1" s="20"/>
      <c r="O1" s="20"/>
      <c r="P1" s="20"/>
      <c r="Q1" s="20"/>
    </row>
    <row r="2" spans="1:17" x14ac:dyDescent="0.3">
      <c r="A2" s="20"/>
      <c r="B2" s="21"/>
      <c r="C2" s="21"/>
      <c r="D2" s="21"/>
      <c r="E2" s="21"/>
      <c r="F2" s="21"/>
      <c r="G2" s="21"/>
      <c r="H2" s="21"/>
      <c r="I2" s="21"/>
      <c r="J2" s="21"/>
      <c r="K2" s="21"/>
      <c r="L2" s="21"/>
      <c r="M2" s="21"/>
      <c r="N2" s="21"/>
      <c r="O2" s="21"/>
      <c r="P2" s="21"/>
      <c r="Q2" s="20"/>
    </row>
    <row r="3" spans="1:17" x14ac:dyDescent="0.3">
      <c r="A3" s="20"/>
      <c r="B3" s="21"/>
      <c r="C3" s="21"/>
      <c r="D3" s="21"/>
      <c r="E3" s="21"/>
      <c r="F3" s="21"/>
      <c r="G3" s="21"/>
      <c r="H3" s="21"/>
      <c r="I3" s="21"/>
      <c r="J3" s="21"/>
      <c r="K3" s="21"/>
      <c r="L3" s="21"/>
      <c r="M3" s="21"/>
      <c r="N3" s="21"/>
      <c r="O3" s="21"/>
      <c r="P3" s="21"/>
      <c r="Q3" s="20"/>
    </row>
    <row r="4" spans="1:17" x14ac:dyDescent="0.3">
      <c r="A4" s="20"/>
      <c r="B4" s="21"/>
      <c r="C4" s="21"/>
      <c r="D4" s="21"/>
      <c r="E4" s="21"/>
      <c r="F4" s="21"/>
      <c r="G4" s="21"/>
      <c r="H4" s="21"/>
      <c r="I4" s="21"/>
      <c r="J4" s="21"/>
      <c r="K4" s="21"/>
      <c r="L4" s="21"/>
      <c r="M4" s="21"/>
      <c r="N4" s="21"/>
      <c r="O4" s="21"/>
      <c r="P4" s="21"/>
      <c r="Q4" s="20"/>
    </row>
    <row r="5" spans="1:17" x14ac:dyDescent="0.3">
      <c r="A5" s="20"/>
      <c r="B5" s="21"/>
      <c r="C5" s="21"/>
      <c r="D5" s="21"/>
      <c r="E5" s="21"/>
      <c r="F5" s="21"/>
      <c r="G5" s="21"/>
      <c r="H5" s="21"/>
      <c r="I5" s="21"/>
      <c r="J5" s="21"/>
      <c r="K5" s="21"/>
      <c r="L5" s="21"/>
      <c r="M5" s="21"/>
      <c r="N5" s="21"/>
      <c r="O5" s="21"/>
      <c r="P5" s="21"/>
      <c r="Q5" s="20"/>
    </row>
    <row r="6" spans="1:17" x14ac:dyDescent="0.3">
      <c r="A6" s="20"/>
      <c r="B6" s="21"/>
      <c r="C6" s="21"/>
      <c r="D6" s="21"/>
      <c r="E6" s="21"/>
      <c r="F6" s="21"/>
      <c r="G6" s="21"/>
      <c r="H6" s="21"/>
      <c r="I6" s="21"/>
      <c r="J6" s="21"/>
      <c r="K6" s="21"/>
      <c r="L6" s="21"/>
      <c r="M6" s="21"/>
      <c r="N6" s="21"/>
      <c r="O6" s="21"/>
      <c r="P6" s="21"/>
      <c r="Q6" s="20"/>
    </row>
    <row r="7" spans="1:17" x14ac:dyDescent="0.3">
      <c r="A7" s="20"/>
      <c r="B7" s="21"/>
      <c r="C7" s="21"/>
      <c r="D7" s="21"/>
      <c r="E7" s="21"/>
      <c r="F7" s="21"/>
      <c r="G7" s="21"/>
      <c r="H7" s="21"/>
      <c r="I7" s="21"/>
      <c r="J7" s="21"/>
      <c r="K7" s="21"/>
      <c r="L7" s="21"/>
      <c r="M7" s="21"/>
      <c r="N7" s="21"/>
      <c r="O7" s="21"/>
      <c r="P7" s="21"/>
      <c r="Q7" s="20"/>
    </row>
    <row r="8" spans="1:17" x14ac:dyDescent="0.3">
      <c r="A8" s="20"/>
      <c r="B8" s="21"/>
      <c r="C8" s="21"/>
      <c r="D8" s="21"/>
      <c r="E8" s="21"/>
      <c r="F8" s="21"/>
      <c r="G8" s="21"/>
      <c r="H8" s="21"/>
      <c r="I8" s="21"/>
      <c r="J8" s="21"/>
      <c r="K8" s="21"/>
      <c r="L8" s="21"/>
      <c r="M8" s="21"/>
      <c r="N8" s="21"/>
      <c r="O8" s="21"/>
      <c r="P8" s="21"/>
      <c r="Q8" s="20"/>
    </row>
    <row r="9" spans="1:17" x14ac:dyDescent="0.3">
      <c r="A9" s="20"/>
      <c r="B9" s="21"/>
      <c r="C9" s="21"/>
      <c r="D9" s="21"/>
      <c r="E9" s="21"/>
      <c r="F9" s="21"/>
      <c r="G9" s="21"/>
      <c r="H9" s="21"/>
      <c r="I9" s="21"/>
      <c r="J9" s="21"/>
      <c r="K9" s="21"/>
      <c r="L9" s="21"/>
      <c r="M9" s="21"/>
      <c r="N9" s="21"/>
      <c r="O9" s="21"/>
      <c r="P9" s="21"/>
      <c r="Q9" s="20"/>
    </row>
    <row r="10" spans="1:17" x14ac:dyDescent="0.3">
      <c r="A10" s="20"/>
      <c r="B10" s="21"/>
      <c r="C10" s="21"/>
      <c r="D10" s="21"/>
      <c r="E10" s="21"/>
      <c r="F10" s="21"/>
      <c r="G10" s="21"/>
      <c r="H10" s="21"/>
      <c r="I10" s="21"/>
      <c r="J10" s="21"/>
      <c r="K10" s="21"/>
      <c r="L10" s="21"/>
      <c r="M10" s="21"/>
      <c r="N10" s="21"/>
      <c r="O10" s="21"/>
      <c r="P10" s="21"/>
      <c r="Q10" s="20"/>
    </row>
    <row r="11" spans="1:17" x14ac:dyDescent="0.3">
      <c r="A11" s="20"/>
      <c r="B11" s="21"/>
      <c r="C11" s="21"/>
      <c r="D11" s="21"/>
      <c r="E11" s="21"/>
      <c r="F11" s="21"/>
      <c r="G11" s="21"/>
      <c r="H11" s="21"/>
      <c r="I11" s="21"/>
      <c r="J11" s="21"/>
      <c r="K11" s="21"/>
      <c r="L11" s="21"/>
      <c r="M11" s="21"/>
      <c r="N11" s="21"/>
      <c r="O11" s="21"/>
      <c r="P11" s="21"/>
      <c r="Q11" s="20"/>
    </row>
    <row r="12" spans="1:17" x14ac:dyDescent="0.3">
      <c r="A12" s="20"/>
      <c r="B12" s="21"/>
      <c r="C12" s="29"/>
      <c r="D12" s="21"/>
      <c r="E12" s="21"/>
      <c r="F12" s="21"/>
      <c r="G12" s="21"/>
      <c r="H12" s="29"/>
      <c r="I12" s="21"/>
      <c r="J12" s="21"/>
      <c r="K12" s="21"/>
      <c r="L12" s="21"/>
      <c r="M12" s="21"/>
      <c r="N12" s="21"/>
      <c r="O12" s="21"/>
      <c r="P12" s="21"/>
      <c r="Q12" s="20"/>
    </row>
    <row r="13" spans="1:17" x14ac:dyDescent="0.3">
      <c r="A13" s="20"/>
      <c r="B13" s="21"/>
      <c r="C13" s="21"/>
      <c r="D13" s="21"/>
      <c r="E13" s="21"/>
      <c r="F13" s="21"/>
      <c r="G13" s="21"/>
      <c r="H13" s="21"/>
      <c r="I13" s="21"/>
      <c r="J13" s="21"/>
      <c r="K13" s="21"/>
      <c r="L13" s="21"/>
      <c r="M13" s="21"/>
      <c r="N13" s="21"/>
      <c r="O13" s="21"/>
      <c r="P13" s="21"/>
      <c r="Q13" s="20"/>
    </row>
    <row r="14" spans="1:17" x14ac:dyDescent="0.3">
      <c r="A14" s="20"/>
      <c r="B14" s="21"/>
      <c r="C14" s="21"/>
      <c r="D14" s="21"/>
      <c r="E14" s="21"/>
      <c r="F14" s="21"/>
      <c r="G14" s="21"/>
      <c r="H14" s="21"/>
      <c r="I14" s="21"/>
      <c r="J14" s="21"/>
      <c r="K14" s="21"/>
      <c r="L14" s="21"/>
      <c r="M14" s="21"/>
      <c r="N14" s="21"/>
      <c r="O14" s="21"/>
      <c r="P14" s="21"/>
      <c r="Q14" s="20"/>
    </row>
    <row r="15" spans="1:17" x14ac:dyDescent="0.3">
      <c r="A15" s="20"/>
      <c r="B15" s="21"/>
      <c r="C15" s="21"/>
      <c r="D15" s="21"/>
      <c r="E15" s="21"/>
      <c r="F15" s="21"/>
      <c r="G15" s="21"/>
      <c r="H15" s="31" t="s">
        <v>103</v>
      </c>
      <c r="I15" s="30" t="s">
        <v>101</v>
      </c>
      <c r="J15" s="21"/>
      <c r="K15" s="21"/>
      <c r="L15" s="21"/>
      <c r="M15" s="21"/>
      <c r="N15" s="21"/>
      <c r="O15" s="21"/>
      <c r="P15" s="21"/>
      <c r="Q15" s="20"/>
    </row>
    <row r="16" spans="1:17" ht="20.399999999999999" x14ac:dyDescent="0.3">
      <c r="A16" s="20"/>
      <c r="B16" s="21"/>
      <c r="C16" s="21"/>
      <c r="D16" s="21"/>
      <c r="E16" s="21"/>
      <c r="F16" s="21"/>
      <c r="G16" s="34" t="s">
        <v>2</v>
      </c>
      <c r="H16" s="35"/>
      <c r="I16" s="36" t="str">
        <f>'Calcs for dash'!H55</f>
        <v xml:space="preserve">Product  profitability </v>
      </c>
      <c r="J16" s="37" t="str">
        <f>'Calcs for dash'!I55</f>
        <v>Quantity Sold</v>
      </c>
      <c r="K16" s="21"/>
      <c r="L16" s="21"/>
      <c r="M16" s="21"/>
      <c r="N16" s="21"/>
      <c r="O16" s="21"/>
      <c r="P16" s="21"/>
      <c r="Q16" s="20"/>
    </row>
    <row r="17" spans="1:17" x14ac:dyDescent="0.3">
      <c r="A17" s="20"/>
      <c r="B17" s="21"/>
      <c r="C17" s="21"/>
      <c r="D17" s="21"/>
      <c r="E17" s="21"/>
      <c r="F17" s="21"/>
      <c r="G17" s="38" t="str">
        <f>IF($I$15='Calcs for dash'!$G$54,'Calcs for dash'!G56,'Calcs for dash'!G65)</f>
        <v>Bottle 42-КПШ</v>
      </c>
      <c r="H17" s="21"/>
      <c r="I17" s="43">
        <f>IF($I$15='Calcs for dash'!$G$54,'Calcs for dash'!H56,'Calcs for dash'!H65)</f>
        <v>0.22732016810085626</v>
      </c>
      <c r="J17" s="41">
        <f>IF($I$15='Calcs for dash'!$G$54,'Calcs for dash'!I56,'Calcs for dash'!I65)</f>
        <v>110638</v>
      </c>
      <c r="K17" s="21"/>
      <c r="L17" s="21"/>
      <c r="M17" s="21"/>
      <c r="N17" s="21"/>
      <c r="O17" s="21"/>
      <c r="P17" s="21"/>
      <c r="Q17" s="20"/>
    </row>
    <row r="18" spans="1:17" x14ac:dyDescent="0.3">
      <c r="A18" s="20"/>
      <c r="B18" s="21"/>
      <c r="C18" s="21"/>
      <c r="D18" s="21"/>
      <c r="E18" s="21"/>
      <c r="F18" s="21"/>
      <c r="G18" s="38" t="str">
        <f>IF($I$15='Calcs for dash'!$G$54,'Calcs for dash'!G57,'Calcs for dash'!G66)</f>
        <v>Bottle 110-Ш-Green</v>
      </c>
      <c r="H18" s="21"/>
      <c r="I18" s="43">
        <f>IF($I$15='Calcs for dash'!$G$54,'Calcs for dash'!H57,'Calcs for dash'!H66)</f>
        <v>0.14140537575268838</v>
      </c>
      <c r="J18" s="41">
        <f>IF($I$15='Calcs for dash'!$G$54,'Calcs for dash'!I57,'Calcs for dash'!I66)</f>
        <v>1259104</v>
      </c>
      <c r="K18" s="21"/>
      <c r="L18" s="21"/>
      <c r="M18" s="21"/>
      <c r="N18" s="21"/>
      <c r="O18" s="21"/>
      <c r="P18" s="21"/>
      <c r="Q18" s="20"/>
    </row>
    <row r="19" spans="1:17" x14ac:dyDescent="0.3">
      <c r="A19" s="20"/>
      <c r="B19" s="21"/>
      <c r="C19" s="21"/>
      <c r="D19" s="21"/>
      <c r="E19" s="21"/>
      <c r="F19" s="21"/>
      <c r="G19" s="38" t="str">
        <f>IF($I$15='Calcs for dash'!$G$54,'Calcs for dash'!G58,'Calcs for dash'!G67)</f>
        <v>Bottle 110-Ш-Brown</v>
      </c>
      <c r="H19" s="21"/>
      <c r="I19" s="43">
        <f>IF($I$15='Calcs for dash'!$G$54,'Calcs for dash'!H58,'Calcs for dash'!H67)</f>
        <v>0.12923134928080612</v>
      </c>
      <c r="J19" s="41">
        <f>IF($I$15='Calcs for dash'!$G$54,'Calcs for dash'!I58,'Calcs for dash'!I67)</f>
        <v>520772</v>
      </c>
      <c r="K19" s="21"/>
      <c r="L19" s="21"/>
      <c r="M19" s="21"/>
      <c r="N19" s="21"/>
      <c r="O19" s="21"/>
      <c r="P19" s="21"/>
      <c r="Q19" s="20"/>
    </row>
    <row r="20" spans="1:17" x14ac:dyDescent="0.3">
      <c r="A20" s="20"/>
      <c r="B20" s="21"/>
      <c r="C20" s="21"/>
      <c r="D20" s="21"/>
      <c r="E20" s="21"/>
      <c r="F20" s="21"/>
      <c r="G20" s="38" t="str">
        <f>IF($I$15='Calcs for dash'!$G$54,'Calcs for dash'!G59,'Calcs for dash'!G68)</f>
        <v>Bottle 140-КПМ</v>
      </c>
      <c r="H20" s="21"/>
      <c r="I20" s="43">
        <f>IF($I$15='Calcs for dash'!$G$54,'Calcs for dash'!H59,'Calcs for dash'!H68)</f>
        <v>0.11950244335850733</v>
      </c>
      <c r="J20" s="41">
        <f>IF($I$15='Calcs for dash'!$G$54,'Calcs for dash'!I59,'Calcs for dash'!I68)</f>
        <v>117936</v>
      </c>
      <c r="K20" s="21"/>
      <c r="L20" s="21"/>
      <c r="M20" s="21"/>
      <c r="N20" s="21"/>
      <c r="O20" s="21"/>
      <c r="P20" s="21"/>
      <c r="Q20" s="20"/>
    </row>
    <row r="21" spans="1:17" x14ac:dyDescent="0.3">
      <c r="A21" s="20"/>
      <c r="B21" s="21"/>
      <c r="C21" s="21"/>
      <c r="D21" s="21"/>
      <c r="E21" s="21"/>
      <c r="F21" s="21"/>
      <c r="G21" s="39" t="str">
        <f>IF($I$15='Calcs for dash'!$G$54,'Calcs for dash'!G60,'Calcs for dash'!G69)</f>
        <v>Bottle 32-П-29-Б</v>
      </c>
      <c r="H21" s="40"/>
      <c r="I21" s="44">
        <f>IF($I$15='Calcs for dash'!$G$54,'Calcs for dash'!H60,'Calcs for dash'!H69)</f>
        <v>0.11648897087755022</v>
      </c>
      <c r="J21" s="42">
        <f>IF($I$15='Calcs for dash'!$G$54,'Calcs for dash'!I60,'Calcs for dash'!I69)</f>
        <v>37440</v>
      </c>
      <c r="K21" s="21"/>
      <c r="L21" s="21"/>
      <c r="M21" s="21"/>
      <c r="N21" s="21"/>
      <c r="O21" s="21"/>
      <c r="P21" s="21"/>
      <c r="Q21" s="20"/>
    </row>
    <row r="22" spans="1:17" x14ac:dyDescent="0.3">
      <c r="A22" s="20"/>
      <c r="B22" s="21"/>
      <c r="C22" s="21"/>
      <c r="D22" s="21"/>
      <c r="E22" s="21"/>
      <c r="F22" s="21"/>
      <c r="G22" s="21"/>
      <c r="H22" s="21"/>
      <c r="I22" s="21"/>
      <c r="J22" s="21"/>
      <c r="K22" s="21"/>
      <c r="L22" s="21"/>
      <c r="M22" s="21"/>
      <c r="N22" s="21"/>
      <c r="O22" s="21"/>
      <c r="P22" s="21"/>
      <c r="Q22" s="20"/>
    </row>
    <row r="23" spans="1:17" x14ac:dyDescent="0.3">
      <c r="A23" s="20"/>
      <c r="B23" s="21"/>
      <c r="C23" s="21"/>
      <c r="D23" s="21"/>
      <c r="E23" s="21"/>
      <c r="F23" s="21"/>
      <c r="G23" s="21"/>
      <c r="H23" s="21"/>
      <c r="I23" s="21"/>
      <c r="J23" s="21"/>
      <c r="K23" s="21"/>
      <c r="L23" s="21"/>
      <c r="M23" s="21"/>
      <c r="N23" s="21"/>
      <c r="O23" s="21"/>
      <c r="P23" s="21"/>
      <c r="Q23" s="20"/>
    </row>
    <row r="24" spans="1:17" x14ac:dyDescent="0.3">
      <c r="A24" s="20"/>
      <c r="B24" s="21"/>
      <c r="C24" s="21"/>
      <c r="D24" s="21"/>
      <c r="E24" s="21"/>
      <c r="F24" s="21"/>
      <c r="G24" s="21"/>
      <c r="H24" s="21"/>
      <c r="I24" s="21"/>
      <c r="J24" s="21"/>
      <c r="K24" s="21"/>
      <c r="L24" s="21"/>
      <c r="M24" s="21"/>
      <c r="N24" s="21"/>
      <c r="O24" s="21"/>
      <c r="P24" s="21"/>
      <c r="Q24" s="20"/>
    </row>
    <row r="25" spans="1:17" x14ac:dyDescent="0.3">
      <c r="A25" s="20"/>
      <c r="B25" s="21"/>
      <c r="C25" s="21"/>
      <c r="D25" s="21"/>
      <c r="E25" s="21"/>
      <c r="F25" s="21"/>
      <c r="G25" s="21"/>
      <c r="H25" s="21"/>
      <c r="I25" s="21"/>
      <c r="J25" s="21"/>
      <c r="K25" s="21"/>
      <c r="L25" s="21"/>
      <c r="M25" s="21"/>
      <c r="N25" s="21"/>
      <c r="O25" s="21"/>
      <c r="P25" s="21"/>
      <c r="Q25" s="20"/>
    </row>
    <row r="26" spans="1:17" x14ac:dyDescent="0.3">
      <c r="A26" s="20"/>
      <c r="B26" s="21"/>
      <c r="C26" s="21"/>
      <c r="D26" s="21"/>
      <c r="E26" s="21"/>
      <c r="F26" s="21"/>
      <c r="G26" s="21"/>
      <c r="H26" s="21"/>
      <c r="I26" s="21"/>
      <c r="J26" s="21"/>
      <c r="K26" s="21"/>
      <c r="L26" s="21"/>
      <c r="M26" s="21"/>
      <c r="N26" s="21"/>
      <c r="O26" s="21"/>
      <c r="P26" s="21"/>
      <c r="Q26" s="20"/>
    </row>
    <row r="27" spans="1:17" x14ac:dyDescent="0.3">
      <c r="A27" s="20"/>
      <c r="B27" s="21"/>
      <c r="C27" s="21"/>
      <c r="D27" s="21"/>
      <c r="E27" s="21"/>
      <c r="F27" s="21"/>
      <c r="G27" s="21"/>
      <c r="H27" s="21"/>
      <c r="I27" s="21"/>
      <c r="J27" s="21"/>
      <c r="K27" s="21"/>
      <c r="L27" s="21"/>
      <c r="M27" s="21"/>
      <c r="N27" s="21"/>
      <c r="O27" s="21"/>
      <c r="P27" s="21"/>
      <c r="Q27" s="20"/>
    </row>
    <row r="28" spans="1:17" x14ac:dyDescent="0.3">
      <c r="A28" s="20"/>
      <c r="B28" s="21"/>
      <c r="C28" s="21"/>
      <c r="D28" s="21"/>
      <c r="E28" s="21"/>
      <c r="F28" s="21"/>
      <c r="G28" s="21"/>
      <c r="H28" s="21"/>
      <c r="I28" s="21"/>
      <c r="J28" s="21"/>
      <c r="K28" s="21"/>
      <c r="L28" s="21"/>
      <c r="M28" s="21"/>
      <c r="N28" s="21"/>
      <c r="O28" s="21"/>
      <c r="P28" s="21"/>
      <c r="Q28" s="20"/>
    </row>
    <row r="29" spans="1:17" x14ac:dyDescent="0.3">
      <c r="A29" s="20"/>
      <c r="B29" s="21"/>
      <c r="C29" s="21"/>
      <c r="D29" s="21"/>
      <c r="E29" s="21"/>
      <c r="F29" s="21"/>
      <c r="G29" s="21"/>
      <c r="H29" s="21"/>
      <c r="I29" s="21"/>
      <c r="J29" s="21"/>
      <c r="K29" s="21"/>
      <c r="L29" s="21"/>
      <c r="M29" s="21"/>
      <c r="N29" s="21"/>
      <c r="O29" s="21"/>
      <c r="P29" s="21"/>
      <c r="Q29" s="20"/>
    </row>
    <row r="30" spans="1:17" x14ac:dyDescent="0.3">
      <c r="A30" s="20"/>
      <c r="B30" s="21"/>
      <c r="C30" s="21"/>
      <c r="D30" s="21"/>
      <c r="E30" s="21"/>
      <c r="F30" s="21"/>
      <c r="G30" s="21"/>
      <c r="H30" s="21"/>
      <c r="I30" s="21"/>
      <c r="J30" s="21"/>
      <c r="K30" s="21"/>
      <c r="L30" s="21"/>
      <c r="M30" s="21"/>
      <c r="N30" s="21"/>
      <c r="O30" s="21"/>
      <c r="P30" s="21"/>
      <c r="Q30" s="20"/>
    </row>
    <row r="31" spans="1:17" x14ac:dyDescent="0.3">
      <c r="A31" s="20"/>
      <c r="B31" s="21"/>
      <c r="C31" s="21"/>
      <c r="D31" s="21"/>
      <c r="E31" s="21"/>
      <c r="F31" s="21"/>
      <c r="G31" s="21"/>
      <c r="H31" s="21"/>
      <c r="I31" s="21"/>
      <c r="J31" s="21"/>
      <c r="K31" s="21"/>
      <c r="L31" s="21"/>
      <c r="M31" s="21"/>
      <c r="N31" s="21"/>
      <c r="O31" s="21"/>
      <c r="P31" s="21"/>
      <c r="Q31" s="20"/>
    </row>
    <row r="32" spans="1:17" x14ac:dyDescent="0.3">
      <c r="A32" s="20"/>
      <c r="B32" s="21"/>
      <c r="C32" s="21"/>
      <c r="D32" s="21"/>
      <c r="E32" s="21"/>
      <c r="F32" s="21"/>
      <c r="G32" s="21"/>
      <c r="H32" s="21"/>
      <c r="I32" s="21"/>
      <c r="J32" s="21"/>
      <c r="K32" s="21"/>
      <c r="L32" s="21"/>
      <c r="M32" s="21"/>
      <c r="N32" s="21"/>
      <c r="O32" s="21"/>
      <c r="P32" s="21"/>
      <c r="Q32" s="20"/>
    </row>
    <row r="33" spans="1:17" x14ac:dyDescent="0.3">
      <c r="A33" s="20"/>
      <c r="B33" s="21"/>
      <c r="C33" s="21"/>
      <c r="D33" s="21"/>
      <c r="E33" s="21"/>
      <c r="F33" s="21"/>
      <c r="G33" s="21"/>
      <c r="H33" s="21"/>
      <c r="I33" s="21"/>
      <c r="J33" s="21"/>
      <c r="K33" s="21"/>
      <c r="L33" s="21"/>
      <c r="M33" s="21"/>
      <c r="N33" s="21"/>
      <c r="O33" s="21"/>
      <c r="P33" s="21"/>
      <c r="Q33" s="20"/>
    </row>
    <row r="34" spans="1:17" x14ac:dyDescent="0.3">
      <c r="A34" s="20"/>
      <c r="B34" s="21"/>
      <c r="C34" s="21"/>
      <c r="D34" s="21"/>
      <c r="E34" s="21"/>
      <c r="F34" s="21"/>
      <c r="G34" s="21"/>
      <c r="H34" s="21"/>
      <c r="I34" s="21"/>
      <c r="J34" s="21"/>
      <c r="K34" s="21"/>
      <c r="L34" s="21"/>
      <c r="M34" s="21"/>
      <c r="N34" s="21"/>
      <c r="O34" s="21"/>
      <c r="P34" s="21"/>
      <c r="Q34" s="20"/>
    </row>
    <row r="35" spans="1:17" x14ac:dyDescent="0.3">
      <c r="A35" s="20"/>
      <c r="B35" s="21"/>
      <c r="C35" s="21"/>
      <c r="D35" s="21"/>
      <c r="E35" s="21"/>
      <c r="F35" s="21"/>
      <c r="G35" s="21"/>
      <c r="H35" s="21"/>
      <c r="I35" s="21"/>
      <c r="J35" s="21"/>
      <c r="K35" s="21"/>
      <c r="L35" s="21"/>
      <c r="M35" s="21"/>
      <c r="N35" s="21"/>
      <c r="O35" s="21"/>
      <c r="P35" s="21"/>
      <c r="Q35" s="20"/>
    </row>
    <row r="36" spans="1:17" x14ac:dyDescent="0.3">
      <c r="A36" s="20"/>
      <c r="B36" s="21"/>
      <c r="C36" s="21"/>
      <c r="D36" s="21"/>
      <c r="E36" s="21"/>
      <c r="F36" s="21"/>
      <c r="G36" s="21"/>
      <c r="H36" s="21"/>
      <c r="I36" s="21"/>
      <c r="J36" s="21"/>
      <c r="K36" s="21"/>
      <c r="L36" s="21"/>
      <c r="M36" s="21"/>
      <c r="N36" s="21"/>
      <c r="O36" s="21"/>
      <c r="P36" s="21"/>
      <c r="Q36" s="20"/>
    </row>
    <row r="37" spans="1:17" x14ac:dyDescent="0.3">
      <c r="A37" s="20"/>
      <c r="B37" s="21"/>
      <c r="C37" s="21"/>
      <c r="D37" s="21"/>
      <c r="E37" s="21"/>
      <c r="F37" s="21"/>
      <c r="G37" s="21"/>
      <c r="H37" s="21"/>
      <c r="I37" s="21"/>
      <c r="J37" s="21"/>
      <c r="K37" s="21"/>
      <c r="L37" s="21"/>
      <c r="M37" s="21"/>
      <c r="N37" s="21"/>
      <c r="O37" s="21"/>
      <c r="P37" s="21"/>
      <c r="Q37" s="20"/>
    </row>
    <row r="38" spans="1:17" x14ac:dyDescent="0.3">
      <c r="A38" s="20"/>
      <c r="B38" s="21"/>
      <c r="C38" s="21"/>
      <c r="D38" s="21"/>
      <c r="E38" s="21"/>
      <c r="F38" s="21"/>
      <c r="G38" s="21"/>
      <c r="H38" s="21"/>
      <c r="I38" s="21"/>
      <c r="J38" s="21"/>
      <c r="K38" s="21"/>
      <c r="L38" s="21"/>
      <c r="M38" s="21"/>
      <c r="N38" s="21"/>
      <c r="O38" s="21"/>
      <c r="P38" s="21"/>
      <c r="Q38" s="20"/>
    </row>
    <row r="39" spans="1:17" x14ac:dyDescent="0.3">
      <c r="A39" s="20"/>
      <c r="B39" s="20"/>
      <c r="C39" s="20"/>
      <c r="D39" s="20"/>
      <c r="E39" s="20"/>
      <c r="F39" s="20"/>
      <c r="G39" s="20"/>
      <c r="H39" s="20"/>
      <c r="I39" s="20"/>
      <c r="J39" s="20"/>
      <c r="K39" s="20"/>
      <c r="L39" s="20"/>
      <c r="M39" s="20"/>
      <c r="N39" s="20"/>
      <c r="O39" s="20"/>
      <c r="P39" s="20"/>
      <c r="Q39" s="20"/>
    </row>
    <row r="40" spans="1:17" x14ac:dyDescent="0.3">
      <c r="A40" s="20"/>
      <c r="B40" s="20"/>
      <c r="C40" s="20"/>
      <c r="D40" s="20"/>
      <c r="E40" s="20"/>
      <c r="F40" s="20"/>
      <c r="G40" s="20"/>
      <c r="H40" s="20"/>
      <c r="I40" s="20"/>
      <c r="J40" s="20"/>
      <c r="K40" s="20"/>
      <c r="L40" s="20"/>
      <c r="M40" s="20"/>
      <c r="N40" s="20"/>
      <c r="O40" s="20"/>
      <c r="P40" s="20"/>
      <c r="Q40" s="20"/>
    </row>
    <row r="41" spans="1:17" x14ac:dyDescent="0.3">
      <c r="A41" s="20"/>
      <c r="B41" s="20"/>
      <c r="C41" s="20"/>
      <c r="D41" s="20"/>
      <c r="E41" s="20"/>
      <c r="F41" s="20"/>
      <c r="G41" s="20"/>
      <c r="H41" s="20"/>
      <c r="I41" s="20"/>
      <c r="J41" s="20"/>
      <c r="K41" s="20"/>
      <c r="L41" s="20"/>
      <c r="M41" s="20"/>
      <c r="N41" s="20"/>
      <c r="O41" s="20"/>
      <c r="P41" s="20"/>
      <c r="Q41" s="20"/>
    </row>
    <row r="42" spans="1:17" x14ac:dyDescent="0.3">
      <c r="A42" s="20"/>
      <c r="B42" s="21"/>
      <c r="C42" s="21"/>
      <c r="D42" s="21"/>
      <c r="E42" s="21"/>
      <c r="F42" s="21"/>
      <c r="G42" s="21"/>
      <c r="H42" s="21"/>
      <c r="I42" s="21"/>
      <c r="J42" s="21"/>
      <c r="K42" s="21"/>
      <c r="L42" s="21"/>
      <c r="M42" s="21"/>
      <c r="N42" s="21"/>
      <c r="O42" s="21"/>
      <c r="P42" s="21"/>
      <c r="Q42" s="20"/>
    </row>
    <row r="43" spans="1:17" x14ac:dyDescent="0.3">
      <c r="A43" s="20"/>
      <c r="B43" s="21"/>
      <c r="C43" s="21"/>
      <c r="D43" s="21"/>
      <c r="E43" s="21"/>
      <c r="F43" s="21"/>
      <c r="G43" s="21"/>
      <c r="H43" s="21"/>
      <c r="I43" s="21"/>
      <c r="J43" s="21"/>
      <c r="K43" s="21"/>
      <c r="L43" s="21"/>
      <c r="M43" s="21"/>
      <c r="N43" s="21"/>
      <c r="O43" s="21"/>
      <c r="P43" s="21"/>
      <c r="Q43" s="20"/>
    </row>
    <row r="44" spans="1:17" x14ac:dyDescent="0.3">
      <c r="A44" s="20"/>
      <c r="B44" s="21"/>
      <c r="C44" s="21"/>
      <c r="D44" s="21"/>
      <c r="E44" s="21"/>
      <c r="F44" s="21"/>
      <c r="G44" s="21"/>
      <c r="H44" s="21"/>
      <c r="I44" s="21"/>
      <c r="J44" s="21"/>
      <c r="K44" s="21"/>
      <c r="L44" s="21"/>
      <c r="M44" s="21"/>
      <c r="N44" s="21"/>
      <c r="O44" s="21"/>
      <c r="P44" s="21"/>
      <c r="Q44" s="20"/>
    </row>
    <row r="45" spans="1:17" x14ac:dyDescent="0.3">
      <c r="A45" s="20"/>
      <c r="B45" s="21"/>
      <c r="C45" s="21"/>
      <c r="D45" s="21"/>
      <c r="E45" s="21"/>
      <c r="F45" s="21"/>
      <c r="G45" s="21"/>
      <c r="H45" s="21"/>
      <c r="I45" s="21"/>
      <c r="J45" s="21"/>
      <c r="K45" s="21"/>
      <c r="L45" s="21"/>
      <c r="M45" s="21"/>
      <c r="N45" s="21"/>
      <c r="O45" s="21"/>
      <c r="P45" s="21"/>
      <c r="Q45" s="20"/>
    </row>
    <row r="46" spans="1:17" x14ac:dyDescent="0.3">
      <c r="A46" s="20"/>
      <c r="B46" s="21"/>
      <c r="C46" s="21"/>
      <c r="D46" s="21"/>
      <c r="E46" s="21"/>
      <c r="F46" s="21"/>
      <c r="G46" s="21"/>
      <c r="H46" s="21"/>
      <c r="I46" s="21"/>
      <c r="J46" s="21"/>
      <c r="K46" s="21"/>
      <c r="L46" s="21"/>
      <c r="M46" s="21"/>
      <c r="N46" s="21"/>
      <c r="O46" s="21"/>
      <c r="P46" s="21"/>
      <c r="Q46" s="20"/>
    </row>
    <row r="47" spans="1:17" x14ac:dyDescent="0.3">
      <c r="A47" s="20"/>
      <c r="B47" s="21"/>
      <c r="C47" s="21"/>
      <c r="D47" s="21"/>
      <c r="E47" s="21"/>
      <c r="F47" s="21"/>
      <c r="G47" s="21"/>
      <c r="H47" s="21"/>
      <c r="I47" s="21"/>
      <c r="J47" s="21"/>
      <c r="K47" s="21"/>
      <c r="L47" s="21"/>
      <c r="M47" s="21"/>
      <c r="N47" s="21"/>
      <c r="O47" s="21"/>
      <c r="P47" s="21"/>
      <c r="Q47" s="20"/>
    </row>
    <row r="48" spans="1:17" x14ac:dyDescent="0.3">
      <c r="A48" s="20"/>
      <c r="B48" s="21"/>
      <c r="C48" s="21"/>
      <c r="D48" s="21"/>
      <c r="E48" s="21"/>
      <c r="F48" s="21"/>
      <c r="G48" s="21"/>
      <c r="H48" s="21"/>
      <c r="I48" s="21"/>
      <c r="J48" s="21"/>
      <c r="K48" s="21"/>
      <c r="L48" s="21"/>
      <c r="M48" s="21"/>
      <c r="N48" s="21"/>
      <c r="O48" s="21"/>
      <c r="P48" s="21"/>
      <c r="Q48" s="20"/>
    </row>
    <row r="49" spans="1:17" x14ac:dyDescent="0.3">
      <c r="A49" s="20"/>
      <c r="B49" s="21"/>
      <c r="C49" s="21"/>
      <c r="D49" s="21"/>
      <c r="E49" s="21"/>
      <c r="F49" s="21"/>
      <c r="G49" s="21"/>
      <c r="H49" s="21"/>
      <c r="I49" s="21"/>
      <c r="J49" s="21"/>
      <c r="K49" s="21"/>
      <c r="L49" s="21"/>
      <c r="M49" s="21"/>
      <c r="N49" s="21"/>
      <c r="O49" s="21"/>
      <c r="P49" s="21"/>
      <c r="Q49" s="20"/>
    </row>
    <row r="50" spans="1:17" x14ac:dyDescent="0.3">
      <c r="A50" s="20"/>
      <c r="B50" s="21"/>
      <c r="C50" s="21"/>
      <c r="D50" s="21"/>
      <c r="E50" s="21"/>
      <c r="F50" s="21"/>
      <c r="G50" s="21"/>
      <c r="H50" s="21"/>
      <c r="I50" s="21"/>
      <c r="J50" s="21"/>
      <c r="K50" s="21"/>
      <c r="L50" s="21"/>
      <c r="M50" s="21"/>
      <c r="N50" s="21"/>
      <c r="O50" s="21"/>
      <c r="P50" s="21"/>
      <c r="Q50" s="20"/>
    </row>
    <row r="51" spans="1:17" x14ac:dyDescent="0.3">
      <c r="A51" s="20"/>
      <c r="B51" s="21"/>
      <c r="C51" s="21"/>
      <c r="D51" s="21"/>
      <c r="E51" s="21"/>
      <c r="F51" s="21"/>
      <c r="G51" s="21"/>
      <c r="H51" s="21"/>
      <c r="I51" s="21"/>
      <c r="J51" s="21"/>
      <c r="K51" s="21"/>
      <c r="L51" s="21"/>
      <c r="M51" s="21"/>
      <c r="N51" s="21"/>
      <c r="O51" s="21"/>
      <c r="P51" s="21"/>
      <c r="Q51" s="20"/>
    </row>
    <row r="52" spans="1:17" x14ac:dyDescent="0.3">
      <c r="A52" s="20"/>
      <c r="B52" s="21"/>
      <c r="C52" s="21"/>
      <c r="D52" s="21"/>
      <c r="E52" s="21"/>
      <c r="F52" s="21"/>
      <c r="G52" s="21"/>
      <c r="H52" s="21"/>
      <c r="I52" s="21"/>
      <c r="J52" s="21"/>
      <c r="K52" s="21"/>
      <c r="L52" s="21"/>
      <c r="M52" s="21"/>
      <c r="N52" s="21"/>
      <c r="O52" s="21"/>
      <c r="P52" s="21"/>
      <c r="Q52" s="20"/>
    </row>
    <row r="53" spans="1:17" x14ac:dyDescent="0.3">
      <c r="A53" s="20"/>
      <c r="B53" s="21"/>
      <c r="C53" s="21"/>
      <c r="D53" s="21"/>
      <c r="E53" s="21"/>
      <c r="F53" s="21"/>
      <c r="G53" s="21"/>
      <c r="H53" s="21"/>
      <c r="I53" s="21"/>
      <c r="J53" s="21"/>
      <c r="K53" s="21"/>
      <c r="L53" s="21"/>
      <c r="M53" s="21"/>
      <c r="N53" s="21"/>
      <c r="O53" s="21"/>
      <c r="P53" s="21"/>
      <c r="Q53" s="20"/>
    </row>
    <row r="54" spans="1:17" x14ac:dyDescent="0.3">
      <c r="A54" s="20"/>
      <c r="B54" s="21"/>
      <c r="C54" s="21"/>
      <c r="D54" s="21"/>
      <c r="E54" s="21"/>
      <c r="F54" s="21"/>
      <c r="G54" s="21"/>
      <c r="H54" s="21"/>
      <c r="I54" s="21"/>
      <c r="J54" s="21"/>
      <c r="K54" s="21"/>
      <c r="L54" s="21"/>
      <c r="M54" s="21"/>
      <c r="N54" s="21"/>
      <c r="O54" s="21"/>
      <c r="P54" s="21"/>
      <c r="Q54" s="20"/>
    </row>
    <row r="55" spans="1:17" x14ac:dyDescent="0.3">
      <c r="A55" s="20"/>
      <c r="B55" s="21"/>
      <c r="C55" s="21"/>
      <c r="D55" s="21"/>
      <c r="E55" s="21"/>
      <c r="F55" s="21"/>
      <c r="G55" s="21"/>
      <c r="H55" s="21"/>
      <c r="I55" s="21"/>
      <c r="J55" s="21"/>
      <c r="K55" s="21"/>
      <c r="L55" s="21"/>
      <c r="M55" s="21"/>
      <c r="N55" s="21"/>
      <c r="O55" s="21"/>
      <c r="P55" s="21"/>
      <c r="Q55" s="20"/>
    </row>
    <row r="56" spans="1:17" x14ac:dyDescent="0.3">
      <c r="A56" s="20"/>
      <c r="B56" s="21"/>
      <c r="C56" s="21"/>
      <c r="D56" s="21"/>
      <c r="E56" s="21"/>
      <c r="F56" s="21"/>
      <c r="G56" s="21"/>
      <c r="H56" s="21"/>
      <c r="I56" s="21"/>
      <c r="J56" s="21"/>
      <c r="K56" s="21"/>
      <c r="L56" s="21"/>
      <c r="M56" s="21"/>
      <c r="N56" s="21"/>
      <c r="O56" s="21"/>
      <c r="P56" s="21"/>
      <c r="Q56" s="20"/>
    </row>
    <row r="57" spans="1:17" x14ac:dyDescent="0.3">
      <c r="A57" s="20"/>
      <c r="B57" s="21"/>
      <c r="C57" s="21"/>
      <c r="D57" s="21"/>
      <c r="E57" s="21"/>
      <c r="F57" s="21"/>
      <c r="G57" s="21"/>
      <c r="H57" s="21"/>
      <c r="I57" s="21"/>
      <c r="J57" s="21"/>
      <c r="K57" s="21"/>
      <c r="L57" s="21"/>
      <c r="M57" s="21"/>
      <c r="N57" s="21"/>
      <c r="O57" s="21"/>
      <c r="P57" s="21"/>
      <c r="Q57" s="20"/>
    </row>
    <row r="58" spans="1:17" x14ac:dyDescent="0.3">
      <c r="A58" s="20"/>
      <c r="B58" s="21"/>
      <c r="C58" s="21"/>
      <c r="D58" s="21"/>
      <c r="E58" s="21"/>
      <c r="F58" s="21"/>
      <c r="G58" s="21"/>
      <c r="H58" s="21"/>
      <c r="I58" s="21"/>
      <c r="J58" s="21"/>
      <c r="K58" s="21"/>
      <c r="L58" s="21"/>
      <c r="M58" s="21"/>
      <c r="N58" s="21"/>
      <c r="O58" s="21"/>
      <c r="P58" s="21"/>
      <c r="Q58" s="20"/>
    </row>
    <row r="59" spans="1:17" x14ac:dyDescent="0.3">
      <c r="A59" s="20"/>
      <c r="B59" s="21"/>
      <c r="C59" s="21"/>
      <c r="D59" s="21"/>
      <c r="E59" s="21"/>
      <c r="F59" s="21"/>
      <c r="G59" s="21"/>
      <c r="H59" s="21"/>
      <c r="I59" s="21"/>
      <c r="J59" s="21"/>
      <c r="K59" s="21"/>
      <c r="L59" s="21"/>
      <c r="M59" s="21"/>
      <c r="N59" s="21"/>
      <c r="O59" s="21"/>
      <c r="P59" s="21"/>
      <c r="Q59" s="20"/>
    </row>
    <row r="60" spans="1:17" x14ac:dyDescent="0.3">
      <c r="A60" s="20"/>
      <c r="B60" s="21"/>
      <c r="C60" s="21"/>
      <c r="D60" s="21"/>
      <c r="E60" s="21"/>
      <c r="F60" s="21"/>
      <c r="G60" s="21"/>
      <c r="H60" s="21"/>
      <c r="I60" s="21"/>
      <c r="J60" s="21"/>
      <c r="K60" s="21"/>
      <c r="L60" s="21"/>
      <c r="M60" s="21"/>
      <c r="N60" s="21"/>
      <c r="O60" s="21"/>
      <c r="P60" s="21"/>
      <c r="Q60" s="20"/>
    </row>
    <row r="61" spans="1:17" x14ac:dyDescent="0.3">
      <c r="A61" s="20"/>
      <c r="B61" s="21"/>
      <c r="C61" s="21"/>
      <c r="D61" s="21"/>
      <c r="E61" s="21"/>
      <c r="F61" s="21"/>
      <c r="G61" s="21"/>
      <c r="H61" s="21"/>
      <c r="I61" s="21"/>
      <c r="J61" s="21"/>
      <c r="K61" s="21"/>
      <c r="L61" s="21"/>
      <c r="M61" s="21"/>
      <c r="N61" s="21"/>
      <c r="O61" s="21"/>
      <c r="P61" s="21"/>
      <c r="Q61" s="20"/>
    </row>
    <row r="62" spans="1:17" x14ac:dyDescent="0.3">
      <c r="A62" s="20"/>
      <c r="B62" s="21"/>
      <c r="C62" s="21"/>
      <c r="D62" s="21"/>
      <c r="E62" s="21"/>
      <c r="F62" s="21"/>
      <c r="G62" s="21"/>
      <c r="H62" s="21"/>
      <c r="I62" s="21"/>
      <c r="J62" s="21"/>
      <c r="K62" s="21"/>
      <c r="L62" s="21"/>
      <c r="M62" s="21"/>
      <c r="N62" s="21"/>
      <c r="O62" s="21"/>
      <c r="P62" s="21"/>
      <c r="Q62" s="20"/>
    </row>
    <row r="63" spans="1:17" x14ac:dyDescent="0.3">
      <c r="A63" s="20"/>
      <c r="B63" s="21"/>
      <c r="C63" s="21"/>
      <c r="D63" s="21"/>
      <c r="E63" s="21"/>
      <c r="F63" s="21"/>
      <c r="G63" s="21"/>
      <c r="H63" s="21"/>
      <c r="I63" s="21"/>
      <c r="J63" s="21"/>
      <c r="K63" s="21"/>
      <c r="L63" s="21"/>
      <c r="M63" s="21"/>
      <c r="N63" s="21"/>
      <c r="O63" s="21"/>
      <c r="P63" s="21"/>
      <c r="Q63" s="20"/>
    </row>
    <row r="64" spans="1:17" x14ac:dyDescent="0.3">
      <c r="A64" s="20"/>
      <c r="B64" s="21"/>
      <c r="C64" s="21"/>
      <c r="D64" s="21"/>
      <c r="E64" s="21"/>
      <c r="F64" s="21"/>
      <c r="G64" s="21"/>
      <c r="H64" s="21"/>
      <c r="I64" s="21"/>
      <c r="J64" s="21"/>
      <c r="K64" s="21"/>
      <c r="L64" s="21"/>
      <c r="M64" s="21"/>
      <c r="N64" s="21"/>
      <c r="O64" s="21"/>
      <c r="P64" s="21"/>
      <c r="Q64" s="20"/>
    </row>
    <row r="65" spans="1:17" x14ac:dyDescent="0.3">
      <c r="A65" s="20"/>
      <c r="B65" s="21"/>
      <c r="C65" s="21"/>
      <c r="D65" s="21"/>
      <c r="E65" s="21"/>
      <c r="F65" s="21"/>
      <c r="G65" s="21"/>
      <c r="H65" s="21"/>
      <c r="I65" s="21"/>
      <c r="J65" s="21"/>
      <c r="K65" s="21"/>
      <c r="L65" s="21"/>
      <c r="M65" s="21"/>
      <c r="N65" s="21"/>
      <c r="O65" s="21"/>
      <c r="P65" s="21"/>
      <c r="Q65" s="20"/>
    </row>
    <row r="66" spans="1:17" x14ac:dyDescent="0.3">
      <c r="A66" s="20"/>
      <c r="B66" s="21"/>
      <c r="C66" s="21"/>
      <c r="D66" s="21"/>
      <c r="E66" s="21"/>
      <c r="F66" s="21"/>
      <c r="G66" s="21"/>
      <c r="H66" s="21"/>
      <c r="I66" s="21"/>
      <c r="J66" s="21"/>
      <c r="K66" s="21"/>
      <c r="L66" s="21"/>
      <c r="M66" s="21"/>
      <c r="N66" s="21"/>
      <c r="O66" s="21"/>
      <c r="P66" s="21"/>
      <c r="Q66" s="20"/>
    </row>
    <row r="67" spans="1:17" x14ac:dyDescent="0.3">
      <c r="A67" s="20"/>
      <c r="B67" s="21"/>
      <c r="C67" s="21"/>
      <c r="D67" s="21"/>
      <c r="E67" s="21"/>
      <c r="F67" s="21"/>
      <c r="G67" s="21"/>
      <c r="H67" s="21"/>
      <c r="I67" s="21"/>
      <c r="J67" s="21"/>
      <c r="K67" s="21"/>
      <c r="L67" s="21"/>
      <c r="M67" s="21"/>
      <c r="N67" s="21"/>
      <c r="O67" s="21"/>
      <c r="P67" s="21"/>
      <c r="Q67" s="20"/>
    </row>
    <row r="68" spans="1:17" x14ac:dyDescent="0.3">
      <c r="A68" s="20"/>
      <c r="B68" s="21"/>
      <c r="C68" s="21"/>
      <c r="D68" s="21"/>
      <c r="E68" s="21"/>
      <c r="F68" s="21"/>
      <c r="G68" s="21"/>
      <c r="H68" s="21"/>
      <c r="I68" s="21"/>
      <c r="J68" s="21"/>
      <c r="K68" s="21"/>
      <c r="L68" s="21"/>
      <c r="M68" s="21"/>
      <c r="N68" s="21"/>
      <c r="O68" s="21"/>
      <c r="P68" s="21"/>
      <c r="Q68" s="20"/>
    </row>
    <row r="69" spans="1:17" x14ac:dyDescent="0.3">
      <c r="A69" s="20"/>
      <c r="B69" s="21"/>
      <c r="C69" s="21"/>
      <c r="D69" s="21"/>
      <c r="E69" s="21"/>
      <c r="F69" s="21"/>
      <c r="G69" s="21"/>
      <c r="H69" s="21"/>
      <c r="I69" s="21"/>
      <c r="J69" s="21"/>
      <c r="K69" s="21"/>
      <c r="L69" s="21"/>
      <c r="M69" s="21"/>
      <c r="N69" s="21"/>
      <c r="O69" s="21"/>
      <c r="P69" s="21"/>
      <c r="Q69" s="20"/>
    </row>
    <row r="70" spans="1:17" x14ac:dyDescent="0.3">
      <c r="A70" s="20"/>
      <c r="B70" s="21"/>
      <c r="C70" s="21"/>
      <c r="D70" s="21"/>
      <c r="E70" s="21"/>
      <c r="F70" s="21"/>
      <c r="G70" s="21"/>
      <c r="H70" s="21"/>
      <c r="I70" s="21"/>
      <c r="J70" s="21"/>
      <c r="K70" s="21"/>
      <c r="L70" s="21"/>
      <c r="M70" s="21"/>
      <c r="N70" s="21"/>
      <c r="O70" s="21"/>
      <c r="P70" s="21"/>
      <c r="Q70" s="20"/>
    </row>
    <row r="71" spans="1:17" x14ac:dyDescent="0.3">
      <c r="A71" s="20"/>
      <c r="B71" s="21"/>
      <c r="C71" s="21"/>
      <c r="D71" s="21"/>
      <c r="E71" s="21"/>
      <c r="F71" s="21"/>
      <c r="G71" s="21"/>
      <c r="H71" s="21"/>
      <c r="I71" s="21"/>
      <c r="J71" s="21"/>
      <c r="K71" s="21"/>
      <c r="L71" s="21"/>
      <c r="M71" s="21"/>
      <c r="N71" s="21"/>
      <c r="O71" s="21"/>
      <c r="P71" s="21"/>
      <c r="Q71" s="20"/>
    </row>
    <row r="72" spans="1:17" x14ac:dyDescent="0.3">
      <c r="A72" s="20"/>
      <c r="B72" s="21"/>
      <c r="C72" s="21"/>
      <c r="D72" s="21"/>
      <c r="E72" s="21"/>
      <c r="F72" s="21"/>
      <c r="G72" s="21"/>
      <c r="H72" s="21"/>
      <c r="I72" s="21"/>
      <c r="J72" s="21"/>
      <c r="K72" s="21"/>
      <c r="L72" s="21"/>
      <c r="M72" s="21"/>
      <c r="N72" s="21"/>
      <c r="O72" s="21"/>
      <c r="P72" s="21"/>
      <c r="Q72" s="20"/>
    </row>
    <row r="73" spans="1:17" x14ac:dyDescent="0.3">
      <c r="A73" s="20"/>
      <c r="B73" s="21"/>
      <c r="C73" s="21"/>
      <c r="D73" s="21"/>
      <c r="E73" s="21"/>
      <c r="F73" s="21"/>
      <c r="G73" s="21"/>
      <c r="H73" s="21"/>
      <c r="I73" s="21"/>
      <c r="J73" s="21"/>
      <c r="K73" s="21"/>
      <c r="L73" s="21"/>
      <c r="M73" s="21"/>
      <c r="N73" s="21"/>
      <c r="O73" s="21"/>
      <c r="P73" s="21"/>
      <c r="Q73" s="20"/>
    </row>
    <row r="74" spans="1:17" x14ac:dyDescent="0.3">
      <c r="A74" s="20"/>
      <c r="B74" s="21"/>
      <c r="C74" s="21"/>
      <c r="D74" s="21"/>
      <c r="E74" s="21"/>
      <c r="F74" s="21"/>
      <c r="G74" s="21"/>
      <c r="H74" s="21"/>
      <c r="I74" s="21"/>
      <c r="J74" s="21"/>
      <c r="K74" s="21"/>
      <c r="L74" s="21"/>
      <c r="M74" s="21"/>
      <c r="N74" s="21"/>
      <c r="O74" s="21"/>
      <c r="P74" s="21"/>
      <c r="Q74" s="20"/>
    </row>
    <row r="75" spans="1:17" x14ac:dyDescent="0.3">
      <c r="A75" s="20"/>
      <c r="B75" s="21"/>
      <c r="C75" s="21"/>
      <c r="D75" s="21"/>
      <c r="E75" s="21"/>
      <c r="F75" s="21"/>
      <c r="G75" s="21"/>
      <c r="H75" s="21"/>
      <c r="I75" s="21"/>
      <c r="J75" s="21"/>
      <c r="K75" s="21"/>
      <c r="L75" s="21"/>
      <c r="M75" s="21"/>
      <c r="N75" s="21"/>
      <c r="O75" s="21"/>
      <c r="P75" s="21"/>
      <c r="Q75" s="20"/>
    </row>
    <row r="76" spans="1:17" x14ac:dyDescent="0.3">
      <c r="A76" s="20"/>
      <c r="B76" s="21"/>
      <c r="C76" s="21"/>
      <c r="D76" s="21"/>
      <c r="E76" s="21"/>
      <c r="F76" s="21"/>
      <c r="G76" s="21"/>
      <c r="H76" s="21"/>
      <c r="I76" s="21"/>
      <c r="J76" s="21"/>
      <c r="K76" s="21"/>
      <c r="L76" s="21"/>
      <c r="M76" s="21"/>
      <c r="N76" s="21"/>
      <c r="O76" s="21"/>
      <c r="P76" s="21"/>
      <c r="Q76" s="20"/>
    </row>
    <row r="77" spans="1:17" x14ac:dyDescent="0.3">
      <c r="A77" s="20"/>
      <c r="B77" s="21"/>
      <c r="C77" s="21"/>
      <c r="D77" s="21"/>
      <c r="E77" s="21"/>
      <c r="F77" s="21"/>
      <c r="G77" s="21"/>
      <c r="H77" s="21"/>
      <c r="I77" s="21"/>
      <c r="J77" s="21"/>
      <c r="K77" s="21"/>
      <c r="L77" s="21"/>
      <c r="M77" s="21"/>
      <c r="N77" s="21"/>
      <c r="O77" s="21"/>
      <c r="P77" s="21"/>
      <c r="Q77" s="20"/>
    </row>
    <row r="78" spans="1:17" x14ac:dyDescent="0.3">
      <c r="A78" s="20"/>
      <c r="B78" s="21"/>
      <c r="C78" s="21"/>
      <c r="D78" s="21"/>
      <c r="E78" s="21"/>
      <c r="F78" s="21"/>
      <c r="G78" s="21"/>
      <c r="H78" s="21"/>
      <c r="I78" s="21"/>
      <c r="J78" s="21"/>
      <c r="K78" s="21"/>
      <c r="L78" s="21"/>
      <c r="M78" s="21"/>
      <c r="N78" s="21"/>
      <c r="O78" s="21"/>
      <c r="P78" s="21"/>
      <c r="Q78" s="20"/>
    </row>
    <row r="79" spans="1:17" x14ac:dyDescent="0.3">
      <c r="A79" s="20"/>
      <c r="B79" s="21"/>
      <c r="C79" s="21"/>
      <c r="D79" s="21"/>
      <c r="E79" s="21"/>
      <c r="F79" s="21"/>
      <c r="G79" s="21"/>
      <c r="H79" s="21"/>
      <c r="I79" s="21"/>
      <c r="J79" s="21"/>
      <c r="K79" s="21"/>
      <c r="L79" s="21"/>
      <c r="M79" s="21"/>
      <c r="N79" s="21"/>
      <c r="O79" s="21"/>
      <c r="P79" s="21"/>
      <c r="Q79" s="20"/>
    </row>
    <row r="80" spans="1:17" x14ac:dyDescent="0.3">
      <c r="A80" s="20"/>
      <c r="B80" s="20"/>
      <c r="C80" s="20"/>
      <c r="D80" s="20"/>
      <c r="E80" s="20"/>
      <c r="F80" s="20"/>
      <c r="G80" s="20"/>
      <c r="H80" s="20"/>
      <c r="I80" s="20"/>
      <c r="J80" s="20"/>
      <c r="K80" s="20"/>
      <c r="L80" s="20"/>
      <c r="M80" s="20"/>
      <c r="N80" s="20"/>
      <c r="O80" s="20"/>
      <c r="P80" s="20"/>
      <c r="Q80" s="20"/>
    </row>
  </sheetData>
  <pageMargins left="0.7" right="0.7" top="0.75" bottom="0.75" header="0.3" footer="0.3"/>
  <pageSetup scale="80" fitToHeight="0" orientation="landscape"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9DE31E7-1351-4217-B04C-65058F18EAFB}">
          <x14:formula1>
            <xm:f>'Calcs for dash'!$G$72:$G$73</xm:f>
          </x14:formula1>
          <xm:sqref>I15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7D9C-C74E-4EA5-85FC-F361314F0996}">
  <dimension ref="A2:J91"/>
  <sheetViews>
    <sheetView workbookViewId="0">
      <selection activeCell="B12" sqref="B12"/>
    </sheetView>
  </sheetViews>
  <sheetFormatPr defaultRowHeight="14.4" x14ac:dyDescent="0.3"/>
  <cols>
    <col min="1" max="1" width="26" customWidth="1"/>
    <col min="2" max="2" width="14.44140625" customWidth="1"/>
    <col min="3" max="3" width="13.44140625" customWidth="1"/>
    <col min="4" max="4" width="11.109375" customWidth="1"/>
    <col min="7" max="7" width="16.21875" customWidth="1"/>
  </cols>
  <sheetData>
    <row r="2" spans="1:2" x14ac:dyDescent="0.3">
      <c r="A2" s="10" t="s">
        <v>91</v>
      </c>
      <c r="B2" s="2">
        <f>AVERAGE(Table3[Unit Weight (kg)])</f>
        <v>0.46375609756097552</v>
      </c>
    </row>
    <row r="3" spans="1:2" x14ac:dyDescent="0.3">
      <c r="A3" s="10" t="s">
        <v>90</v>
      </c>
      <c r="B3" s="2">
        <f>B11/B12</f>
        <v>0.1288869319497592</v>
      </c>
    </row>
    <row r="4" spans="1:2" x14ac:dyDescent="0.3">
      <c r="A4" s="10" t="s">
        <v>92</v>
      </c>
      <c r="B4" s="2">
        <f>B13/B12</f>
        <v>0.121321411440488</v>
      </c>
    </row>
    <row r="5" spans="1:2" x14ac:dyDescent="0.3">
      <c r="A5" s="10" t="s">
        <v>94</v>
      </c>
      <c r="B5" s="7">
        <f>B14/B13</f>
        <v>6.2359318272375355E-2</v>
      </c>
    </row>
    <row r="6" spans="1:2" x14ac:dyDescent="0.3">
      <c r="A6" s="10" t="s">
        <v>93</v>
      </c>
      <c r="B6" s="7">
        <f>B14/B11</f>
        <v>5.8698895185279695E-2</v>
      </c>
    </row>
    <row r="10" spans="1:2" x14ac:dyDescent="0.3">
      <c r="A10" s="10" t="s">
        <v>95</v>
      </c>
    </row>
    <row r="11" spans="1:2" x14ac:dyDescent="0.3">
      <c r="A11" s="10" t="s">
        <v>62</v>
      </c>
      <c r="B11" s="3">
        <f>SUM(Table3[Net Revenue, excl. VAT (USD)])</f>
        <v>1124374.279310345</v>
      </c>
    </row>
    <row r="12" spans="1:2" x14ac:dyDescent="0.3">
      <c r="A12" t="s">
        <v>7</v>
      </c>
      <c r="B12">
        <f>SUM(Table3[Quantity Sold])</f>
        <v>8723726</v>
      </c>
    </row>
    <row r="13" spans="1:2" x14ac:dyDescent="0.3">
      <c r="A13" t="s">
        <v>67</v>
      </c>
      <c r="B13" s="3">
        <f>SUM(Table3[Total Cost (USD)])</f>
        <v>1058374.7513400826</v>
      </c>
    </row>
    <row r="14" spans="1:2" x14ac:dyDescent="0.3">
      <c r="A14" t="s">
        <v>70</v>
      </c>
      <c r="B14" s="3">
        <f>SUM(Table3[Operating Profit (USD)])</f>
        <v>65999.527970262337</v>
      </c>
    </row>
    <row r="18" spans="1:2" x14ac:dyDescent="0.3">
      <c r="A18" s="10" t="s">
        <v>96</v>
      </c>
      <c r="B18" s="10" t="s">
        <v>97</v>
      </c>
    </row>
    <row r="19" spans="1:2" x14ac:dyDescent="0.3">
      <c r="A19" s="10" t="s">
        <v>28</v>
      </c>
      <c r="B19" s="22">
        <f>SUMIF('Clean Data'!C2:C42,'Clean Data'!C3,Table3[Quantity Sold])</f>
        <v>2906721</v>
      </c>
    </row>
    <row r="20" spans="1:2" x14ac:dyDescent="0.3">
      <c r="A20" s="10" t="s">
        <v>24</v>
      </c>
      <c r="B20" s="22">
        <f>SUMIF('Clean Data'!C2:C42,'Clean Data'!C4,Table3[Quantity Sold])</f>
        <v>5817005</v>
      </c>
    </row>
    <row r="25" spans="1:2" x14ac:dyDescent="0.3">
      <c r="A25" s="10" t="s">
        <v>96</v>
      </c>
      <c r="B25" s="10" t="s">
        <v>98</v>
      </c>
    </row>
    <row r="26" spans="1:2" x14ac:dyDescent="0.3">
      <c r="A26" s="10" t="s">
        <v>28</v>
      </c>
      <c r="B26" s="22">
        <f>SUMIF(Table3[Glass Color],'Clean Data'!C3,Table3[Operating Profit (USD)])</f>
        <v>3022.8551863028451</v>
      </c>
    </row>
    <row r="27" spans="1:2" x14ac:dyDescent="0.3">
      <c r="A27" s="10" t="s">
        <v>24</v>
      </c>
      <c r="B27" s="22">
        <f>SUMIF(Table3[Glass Color],'Clean Data'!C4,Table3[Operating Profit (USD)])</f>
        <v>62976.67278395949</v>
      </c>
    </row>
    <row r="44" spans="1:2" x14ac:dyDescent="0.3">
      <c r="B44" s="10" t="s">
        <v>7</v>
      </c>
    </row>
    <row r="45" spans="1:2" x14ac:dyDescent="0.3">
      <c r="A45" t="s">
        <v>43</v>
      </c>
      <c r="B45">
        <f>SUMIF(Table3[Sales Country],'Calcs for dash'!A45,Table3[Quantity Sold])</f>
        <v>6031812</v>
      </c>
    </row>
    <row r="46" spans="1:2" x14ac:dyDescent="0.3">
      <c r="A46" t="s">
        <v>36</v>
      </c>
      <c r="B46">
        <f>SUMIF(Table3[Sales Country],'Calcs for dash'!A46,Table3[Quantity Sold])</f>
        <v>1662800</v>
      </c>
    </row>
    <row r="47" spans="1:2" x14ac:dyDescent="0.3">
      <c r="A47" t="s">
        <v>31</v>
      </c>
      <c r="B47">
        <f>SUMIF(Table3[Sales Country],'Calcs for dash'!A47,Table3[Quantity Sold])</f>
        <v>488834</v>
      </c>
    </row>
    <row r="48" spans="1:2" x14ac:dyDescent="0.3">
      <c r="A48" t="s">
        <v>41</v>
      </c>
      <c r="B48">
        <f>SUMIF(Table3[Sales Country],'Calcs for dash'!A48,Table3[Quantity Sold])</f>
        <v>341920</v>
      </c>
    </row>
    <row r="49" spans="1:10" x14ac:dyDescent="0.3">
      <c r="A49" t="s">
        <v>29</v>
      </c>
      <c r="B49">
        <f>SUMIF(Table3[Sales Country],'Calcs for dash'!A49,Table3[Quantity Sold])</f>
        <v>163800</v>
      </c>
    </row>
    <row r="50" spans="1:10" x14ac:dyDescent="0.3">
      <c r="A50" t="s">
        <v>25</v>
      </c>
      <c r="B50">
        <f>SUMIF(Table3[Sales Country],'Calcs for dash'!A50,Table3[Quantity Sold])</f>
        <v>34560</v>
      </c>
    </row>
    <row r="54" spans="1:10" x14ac:dyDescent="0.3">
      <c r="G54" s="28" t="s">
        <v>101</v>
      </c>
    </row>
    <row r="55" spans="1:10" ht="24" x14ac:dyDescent="0.3">
      <c r="B55" s="9" t="str">
        <f>Pivot1!B3</f>
        <v>Sum of Total Cost (USD)</v>
      </c>
      <c r="C55" s="9" t="str">
        <f>Pivot1!C3</f>
        <v>Sum of Operating Profit (USD)</v>
      </c>
      <c r="D55" s="9" t="s">
        <v>104</v>
      </c>
      <c r="H55" s="27" t="str">
        <f>D55</f>
        <v xml:space="preserve">Product  profitability </v>
      </c>
      <c r="I55" s="1" t="s">
        <v>7</v>
      </c>
    </row>
    <row r="56" spans="1:10" x14ac:dyDescent="0.3">
      <c r="A56" t="str">
        <f>Pivot1!A27</f>
        <v>Bottle 42-КПШ</v>
      </c>
      <c r="B56" s="6">
        <f>Pivot1!B27</f>
        <v>12505.940586960984</v>
      </c>
      <c r="C56" s="6">
        <f>Pivot1!C27</f>
        <v>2842.8525164872917</v>
      </c>
      <c r="D56" s="7">
        <f t="shared" ref="D56:D81" si="0">C56/B56</f>
        <v>0.22732016810085626</v>
      </c>
      <c r="F56">
        <v>1</v>
      </c>
      <c r="G56" s="23" t="str">
        <f>A56</f>
        <v>Bottle 42-КПШ</v>
      </c>
      <c r="H56" s="26">
        <f>D56</f>
        <v>0.22732016810085626</v>
      </c>
      <c r="I56" s="23">
        <f>GETPIVOTDATA("Sum of Quantity Sold",Pivot1!$A$3,"Product","Bottle 42-КПШ")</f>
        <v>110638</v>
      </c>
      <c r="J56" s="23"/>
    </row>
    <row r="57" spans="1:10" x14ac:dyDescent="0.3">
      <c r="A57" t="str">
        <f>Pivot1!A8</f>
        <v>Bottle 110-Ш-Green</v>
      </c>
      <c r="B57" s="6">
        <f>Pivot1!B8</f>
        <v>186388.78275862068</v>
      </c>
      <c r="C57" s="6">
        <f>Pivot1!C8</f>
        <v>26356.375862068962</v>
      </c>
      <c r="D57" s="7">
        <f t="shared" si="0"/>
        <v>0.14140537575268838</v>
      </c>
      <c r="F57">
        <v>2</v>
      </c>
      <c r="G57" s="23" t="str">
        <f t="shared" ref="G57:G60" si="1">A57</f>
        <v>Bottle 110-Ш-Green</v>
      </c>
      <c r="H57" s="26">
        <f t="shared" ref="H57:H60" si="2">D57</f>
        <v>0.14140537575268838</v>
      </c>
      <c r="I57" s="23">
        <f>GETPIVOTDATA("Sum of Quantity Sold",Pivot1!$A$3,"Product","Bottle 110-Ш-Green")</f>
        <v>1259104</v>
      </c>
      <c r="J57" s="23"/>
    </row>
    <row r="58" spans="1:10" x14ac:dyDescent="0.3">
      <c r="A58" t="str">
        <f>Pivot1!A7</f>
        <v>Bottle 110-Ш-Brown</v>
      </c>
      <c r="B58" s="6">
        <f>Pivot1!B7</f>
        <v>77922.482758620681</v>
      </c>
      <c r="C58" s="6">
        <f>Pivot1!C7</f>
        <v>10070.027586206903</v>
      </c>
      <c r="D58" s="7">
        <f t="shared" si="0"/>
        <v>0.12923134928080612</v>
      </c>
      <c r="F58">
        <v>3</v>
      </c>
      <c r="G58" s="23" t="str">
        <f t="shared" si="1"/>
        <v>Bottle 110-Ш-Brown</v>
      </c>
      <c r="H58" s="26">
        <f t="shared" si="2"/>
        <v>0.12923134928080612</v>
      </c>
      <c r="I58" s="23">
        <f>GETPIVOTDATA("Sum of Quantity Sold",Pivot1!$A$3,"Product","Bottle 110-Ш-Brown")</f>
        <v>520772</v>
      </c>
      <c r="J58" s="23"/>
    </row>
    <row r="59" spans="1:10" x14ac:dyDescent="0.3">
      <c r="A59" t="str">
        <f>Pivot1!A21</f>
        <v>Bottle 140-КПМ</v>
      </c>
      <c r="B59" s="6">
        <f>Pivot1!B21</f>
        <v>14530.593103448276</v>
      </c>
      <c r="C59" s="6">
        <f>Pivot1!C21</f>
        <v>1736.4413793103449</v>
      </c>
      <c r="D59" s="7">
        <f t="shared" si="0"/>
        <v>0.11950244335850733</v>
      </c>
      <c r="F59">
        <v>4</v>
      </c>
      <c r="G59" s="23" t="str">
        <f t="shared" si="1"/>
        <v>Bottle 140-КПМ</v>
      </c>
      <c r="H59" s="26">
        <f t="shared" si="2"/>
        <v>0.11950244335850733</v>
      </c>
      <c r="I59" s="23">
        <f>GETPIVOTDATA("Sum of Quantity Sold",Pivot1!$A$3,"Product","Bottle 140-КПМ")</f>
        <v>117936</v>
      </c>
      <c r="J59" s="23"/>
    </row>
    <row r="60" spans="1:10" x14ac:dyDescent="0.3">
      <c r="A60" t="str">
        <f>Pivot1!A26</f>
        <v>Bottle 32-П-29-Б</v>
      </c>
      <c r="B60" s="6">
        <f>Pivot1!B26</f>
        <v>4162.8034482758621</v>
      </c>
      <c r="C60" s="6">
        <f>Pivot1!C26</f>
        <v>484.92068965517257</v>
      </c>
      <c r="D60" s="7">
        <f t="shared" si="0"/>
        <v>0.11648897087755022</v>
      </c>
      <c r="F60">
        <v>5</v>
      </c>
      <c r="G60" s="23" t="str">
        <f t="shared" si="1"/>
        <v>Bottle 32-П-29-Б</v>
      </c>
      <c r="H60" s="26">
        <f t="shared" si="2"/>
        <v>0.11648897087755022</v>
      </c>
      <c r="I60" s="23">
        <f>GETPIVOTDATA("Sum of Quantity Sold",Pivot1!$A$3,"Product","Bottle 32-П-29-Б")</f>
        <v>37440</v>
      </c>
      <c r="J60" s="23"/>
    </row>
    <row r="61" spans="1:10" x14ac:dyDescent="0.3">
      <c r="A61" t="str">
        <f>Pivot1!A29</f>
        <v>Bottle 29-В</v>
      </c>
      <c r="B61" s="6">
        <f>Pivot1!B29</f>
        <v>53504.262068965516</v>
      </c>
      <c r="C61" s="6">
        <f>Pivot1!C29</f>
        <v>5706.6620689655201</v>
      </c>
      <c r="D61" s="7">
        <f t="shared" si="0"/>
        <v>0.10665808382909366</v>
      </c>
    </row>
    <row r="62" spans="1:10" x14ac:dyDescent="0.3">
      <c r="A62" t="str">
        <f>Pivot1!A25</f>
        <v>Bottle 32-П-29-А-700</v>
      </c>
      <c r="B62" s="6">
        <f>Pivot1!B25</f>
        <v>64108.29444206359</v>
      </c>
      <c r="C62" s="6">
        <f>Pivot1!C25</f>
        <v>6231.3986613846828</v>
      </c>
      <c r="D62" s="7">
        <f t="shared" si="0"/>
        <v>9.7201129988197812E-2</v>
      </c>
    </row>
    <row r="63" spans="1:10" x14ac:dyDescent="0.3">
      <c r="A63" t="str">
        <f>Pivot1!A17</f>
        <v>Bottle 127-П-29-Б-700</v>
      </c>
      <c r="B63" s="6">
        <f>Pivot1!B17</f>
        <v>19875.775862068967</v>
      </c>
      <c r="C63" s="6">
        <f>Pivot1!C17</f>
        <v>1809.5689655172414</v>
      </c>
      <c r="D63" s="7">
        <f t="shared" si="0"/>
        <v>9.1043941030278575E-2</v>
      </c>
    </row>
    <row r="64" spans="1:10" x14ac:dyDescent="0.3">
      <c r="A64" t="str">
        <f>Pivot1!A11</f>
        <v>Bottle 117-П</v>
      </c>
      <c r="B64" s="6">
        <f>Pivot1!B11</f>
        <v>14594.203448275863</v>
      </c>
      <c r="C64" s="6">
        <f>Pivot1!C11</f>
        <v>1099.3137931034464</v>
      </c>
      <c r="D64" s="7">
        <f t="shared" si="0"/>
        <v>7.5325371268091898E-2</v>
      </c>
      <c r="G64" s="28" t="s">
        <v>102</v>
      </c>
    </row>
    <row r="65" spans="1:9" x14ac:dyDescent="0.3">
      <c r="A65" t="str">
        <f>Pivot1!A4</f>
        <v>Bottle 103-ВВК</v>
      </c>
      <c r="B65" s="6">
        <f>Pivot1!B4</f>
        <v>4099.6689655172422</v>
      </c>
      <c r="C65" s="6">
        <f>Pivot1!C4</f>
        <v>302.88275862068923</v>
      </c>
      <c r="D65" s="7">
        <f t="shared" si="0"/>
        <v>7.3879808630469626E-2</v>
      </c>
      <c r="F65">
        <v>1</v>
      </c>
      <c r="G65" t="str">
        <f>A81</f>
        <v>Bottle 118-ВВК</v>
      </c>
      <c r="H65" s="8">
        <f>D81</f>
        <v>-8.4300263781423371E-2</v>
      </c>
      <c r="I65">
        <f>GETPIVOTDATA("Sum of Quantity Sold",Pivot1!$A$3,"Product","Bottle 118-ВВК")</f>
        <v>524312</v>
      </c>
    </row>
    <row r="66" spans="1:9" x14ac:dyDescent="0.3">
      <c r="A66" t="str">
        <f>Pivot1!A18</f>
        <v>Bottle 128-КПН-М</v>
      </c>
      <c r="B66" s="6">
        <f>Pivot1!B18</f>
        <v>29037.34429349492</v>
      </c>
      <c r="C66" s="6">
        <f>Pivot1!C18</f>
        <v>2034.5522582292197</v>
      </c>
      <c r="D66" s="7">
        <f t="shared" si="0"/>
        <v>7.0066747071115917E-2</v>
      </c>
      <c r="F66">
        <v>2</v>
      </c>
      <c r="G66" t="str">
        <f>A80</f>
        <v>Bottle 81-КПМ</v>
      </c>
      <c r="H66" s="8">
        <f>D80</f>
        <v>-5.6153794718447302E-2</v>
      </c>
      <c r="I66">
        <f>GETPIVOTDATA("Sum of Quantity Sold",Pivot1!$A$3,"Product","Bottle 81-КПМ")</f>
        <v>119340</v>
      </c>
    </row>
    <row r="67" spans="1:9" x14ac:dyDescent="0.3">
      <c r="A67" t="str">
        <f>Pivot1!A20</f>
        <v>Bottle 139-КНд</v>
      </c>
      <c r="B67" s="6">
        <f>Pivot1!B20</f>
        <v>42333.034482758623</v>
      </c>
      <c r="C67" s="6">
        <f>Pivot1!C20</f>
        <v>2732.6758620689639</v>
      </c>
      <c r="D67" s="7">
        <f t="shared" si="0"/>
        <v>6.4551854017975641E-2</v>
      </c>
      <c r="F67">
        <v>3</v>
      </c>
      <c r="G67" t="str">
        <f>A79</f>
        <v>Bottle 138-КПНн</v>
      </c>
      <c r="H67" s="8">
        <f>D79</f>
        <v>-4.7496940945632192E-2</v>
      </c>
      <c r="I67">
        <f>GETPIVOTDATA("Sum of Quantity Sold",Pivot1!$A$3,"Product","Bottle 138-КПНн")</f>
        <v>195776</v>
      </c>
    </row>
    <row r="68" spans="1:9" x14ac:dyDescent="0.3">
      <c r="A68" t="str">
        <f>Pivot1!A15</f>
        <v>Bottle 125-В</v>
      </c>
      <c r="B68" s="6">
        <f>Pivot1!B15</f>
        <v>98488.849532036998</v>
      </c>
      <c r="C68" s="6">
        <f>Pivot1!C15</f>
        <v>5745.9780541699029</v>
      </c>
      <c r="D68" s="7">
        <f t="shared" si="0"/>
        <v>5.8341406986390058E-2</v>
      </c>
      <c r="F68">
        <v>4</v>
      </c>
      <c r="G68" t="str">
        <f>A78</f>
        <v>Bottle 11-ВКП-2</v>
      </c>
      <c r="H68" s="8">
        <f>D78</f>
        <v>-4.1501708553802086E-2</v>
      </c>
      <c r="I68">
        <f>GETPIVOTDATA("Sum of Quantity Sold",Pivot1!$A$3,"Product","Bottle 11-ВКП-2")</f>
        <v>198956</v>
      </c>
    </row>
    <row r="69" spans="1:9" x14ac:dyDescent="0.3">
      <c r="A69" t="str">
        <f>Pivot1!A24</f>
        <v>Bottle 31-П-29-Б</v>
      </c>
      <c r="B69" s="6">
        <f>Pivot1!B24</f>
        <v>2119.9655172413795</v>
      </c>
      <c r="C69" s="6">
        <f>Pivot1!C24</f>
        <v>119.17241379310326</v>
      </c>
      <c r="D69" s="7">
        <f t="shared" si="0"/>
        <v>5.6214317083882206E-2</v>
      </c>
      <c r="F69">
        <v>5</v>
      </c>
      <c r="G69" t="str">
        <f>A77</f>
        <v>Bottle 111-В</v>
      </c>
      <c r="H69" s="8">
        <f>D77</f>
        <v>-3.4024747274561132E-2</v>
      </c>
      <c r="I69">
        <f>GETPIVOTDATA("Sum of Quantity Sold",Pivot1!$A$3,"Product","Bottle 111-В")</f>
        <v>296400</v>
      </c>
    </row>
    <row r="70" spans="1:9" x14ac:dyDescent="0.3">
      <c r="A70" t="str">
        <f>Pivot1!A14</f>
        <v>Bottle 123-КПШ</v>
      </c>
      <c r="B70" s="6">
        <f>Pivot1!B14</f>
        <v>106022.03103448276</v>
      </c>
      <c r="C70" s="6">
        <f>Pivot1!C14</f>
        <v>5504.1551724137971</v>
      </c>
      <c r="D70" s="7">
        <f t="shared" si="0"/>
        <v>5.1915202139672441E-2</v>
      </c>
    </row>
    <row r="71" spans="1:9" x14ac:dyDescent="0.3">
      <c r="A71" t="str">
        <f>Pivot1!A10</f>
        <v>Bottle 115-КПНб</v>
      </c>
      <c r="B71" s="6">
        <f>Pivot1!B10</f>
        <v>80702.597938501873</v>
      </c>
      <c r="C71" s="6">
        <f>Pivot1!C10</f>
        <v>4066.3675787395114</v>
      </c>
      <c r="D71" s="7">
        <f t="shared" si="0"/>
        <v>5.038707157653366E-2</v>
      </c>
    </row>
    <row r="72" spans="1:9" x14ac:dyDescent="0.3">
      <c r="A72" t="str">
        <f>Pivot1!A6</f>
        <v>Bottle 110-Ш</v>
      </c>
      <c r="B72" s="6">
        <f>Pivot1!B6</f>
        <v>5081.0517241379312</v>
      </c>
      <c r="C72" s="6">
        <f>Pivot1!C6</f>
        <v>155.52758620689679</v>
      </c>
      <c r="D72" s="7">
        <f t="shared" si="0"/>
        <v>3.06093294559571E-2</v>
      </c>
      <c r="G72" s="28" t="s">
        <v>101</v>
      </c>
    </row>
    <row r="73" spans="1:9" x14ac:dyDescent="0.3">
      <c r="A73" t="str">
        <f>Pivot1!A5</f>
        <v>Bottle 109-А</v>
      </c>
      <c r="B73" s="6">
        <f>Pivot1!B5</f>
        <v>13335.223684527016</v>
      </c>
      <c r="C73" s="6">
        <f>Pivot1!C5</f>
        <v>406.43148788677632</v>
      </c>
      <c r="D73" s="7">
        <f t="shared" si="0"/>
        <v>3.0478040526486446E-2</v>
      </c>
      <c r="G73" s="28" t="s">
        <v>102</v>
      </c>
    </row>
    <row r="74" spans="1:9" x14ac:dyDescent="0.3">
      <c r="A74" t="str">
        <f>Pivot1!A22</f>
        <v>Bottle 17-В</v>
      </c>
      <c r="B74" s="6">
        <f>Pivot1!B22</f>
        <v>15269.13448275862</v>
      </c>
      <c r="C74" s="6">
        <f>Pivot1!C22</f>
        <v>37.789655172415102</v>
      </c>
      <c r="D74" s="7">
        <f t="shared" si="0"/>
        <v>2.4749048621639869E-3</v>
      </c>
    </row>
    <row r="75" spans="1:9" x14ac:dyDescent="0.3">
      <c r="A75" t="str">
        <f>Pivot1!A16</f>
        <v>Bottle 126-В</v>
      </c>
      <c r="B75" s="6">
        <f>Pivot1!B16</f>
        <v>36905.691048611705</v>
      </c>
      <c r="C75" s="6">
        <f>Pivot1!C16</f>
        <v>-1153.8634624048077</v>
      </c>
      <c r="D75" s="7">
        <f t="shared" si="0"/>
        <v>-3.1265190533485837E-2</v>
      </c>
    </row>
    <row r="76" spans="1:9" x14ac:dyDescent="0.3">
      <c r="A76" t="str">
        <f>Pivot1!A23</f>
        <v>Bottle 29-В-1</v>
      </c>
      <c r="B76" s="6">
        <f>Pivot1!B23</f>
        <v>15430.831034482761</v>
      </c>
      <c r="C76" s="6">
        <f>Pivot1!C23</f>
        <v>-493.12068965517341</v>
      </c>
      <c r="D76" s="7">
        <f t="shared" si="0"/>
        <v>-3.1956845911488056E-2</v>
      </c>
    </row>
    <row r="77" spans="1:9" x14ac:dyDescent="0.3">
      <c r="A77" t="str">
        <f>Pivot1!A9</f>
        <v>Bottle 111-В</v>
      </c>
      <c r="B77" s="6">
        <f>Pivot1!B9</f>
        <v>39148.571992337165</v>
      </c>
      <c r="C77" s="6">
        <f>Pivot1!C9</f>
        <v>-1332.0202681992341</v>
      </c>
      <c r="D77" s="7">
        <f t="shared" si="0"/>
        <v>-3.4024747274561132E-2</v>
      </c>
    </row>
    <row r="78" spans="1:9" x14ac:dyDescent="0.3">
      <c r="A78" t="str">
        <f>Pivot1!A13</f>
        <v>Bottle 11-ВКП-2</v>
      </c>
      <c r="B78" s="6">
        <f>Pivot1!B13</f>
        <v>18168.082319473229</v>
      </c>
      <c r="C78" s="6">
        <f>Pivot1!C13</f>
        <v>-754.00645740426251</v>
      </c>
      <c r="D78" s="7">
        <f t="shared" si="0"/>
        <v>-4.1501708553802086E-2</v>
      </c>
    </row>
    <row r="79" spans="1:9" x14ac:dyDescent="0.3">
      <c r="A79" t="str">
        <f>Pivot1!A19</f>
        <v>Bottle 138-КПНн</v>
      </c>
      <c r="B79" s="6">
        <f>Pivot1!B19</f>
        <v>19172.540470794953</v>
      </c>
      <c r="C79" s="6">
        <f>Pivot1!C19</f>
        <v>-910.63702251909115</v>
      </c>
      <c r="D79" s="7">
        <f t="shared" si="0"/>
        <v>-4.7496940945632192E-2</v>
      </c>
    </row>
    <row r="80" spans="1:9" x14ac:dyDescent="0.3">
      <c r="A80" t="str">
        <f>Pivot1!A28</f>
        <v>Bottle 81-КПМ</v>
      </c>
      <c r="B80" s="6">
        <f>Pivot1!B28</f>
        <v>14388.010344827586</v>
      </c>
      <c r="C80" s="6">
        <f>Pivot1!C28</f>
        <v>-807.94137931034447</v>
      </c>
      <c r="D80" s="7">
        <f t="shared" si="0"/>
        <v>-5.6153794718447302E-2</v>
      </c>
    </row>
    <row r="81" spans="1:5" x14ac:dyDescent="0.3">
      <c r="A81" t="str">
        <f>Pivot1!A12</f>
        <v>Bottle 118-ВВК</v>
      </c>
      <c r="B81" s="6">
        <f>Pivot1!B12</f>
        <v>71078.983996797295</v>
      </c>
      <c r="C81" s="6">
        <f>Pivot1!C12</f>
        <v>-5991.9771002455827</v>
      </c>
      <c r="D81" s="7">
        <f t="shared" si="0"/>
        <v>-8.4300263781423371E-2</v>
      </c>
    </row>
    <row r="82" spans="1:5" x14ac:dyDescent="0.3">
      <c r="A82" s="24" t="str">
        <f>Pivot1!A30</f>
        <v>Grand Total</v>
      </c>
      <c r="B82" s="25">
        <f>Pivot1!B30</f>
        <v>1058374.7513400826</v>
      </c>
      <c r="C82" s="25">
        <f>Pivot1!C30</f>
        <v>65999.527970262337</v>
      </c>
      <c r="D82" s="7"/>
    </row>
    <row r="83" spans="1:5" x14ac:dyDescent="0.3">
      <c r="B83" s="6"/>
      <c r="C83" s="6"/>
    </row>
    <row r="84" spans="1:5" x14ac:dyDescent="0.3">
      <c r="B84" s="6"/>
      <c r="C84" s="6"/>
    </row>
    <row r="85" spans="1:5" x14ac:dyDescent="0.3">
      <c r="B85" s="6"/>
      <c r="C85" s="6"/>
    </row>
    <row r="86" spans="1:5" ht="28.2" customHeight="1" x14ac:dyDescent="0.3">
      <c r="B86" s="1" t="str">
        <f>D55</f>
        <v xml:space="preserve">Product  profitability </v>
      </c>
      <c r="C86" s="32" t="s">
        <v>105</v>
      </c>
      <c r="D86" s="1" t="s">
        <v>100</v>
      </c>
      <c r="E86" s="1" t="s">
        <v>99</v>
      </c>
    </row>
    <row r="87" spans="1:5" x14ac:dyDescent="0.3">
      <c r="A87" s="33" t="s">
        <v>106</v>
      </c>
      <c r="B87" s="7">
        <f>D87/E87</f>
        <v>0.22732016810085626</v>
      </c>
      <c r="C87" s="19">
        <v>0.1</v>
      </c>
      <c r="D87" s="3">
        <v>2842.8525164872917</v>
      </c>
      <c r="E87" s="3">
        <v>12505.940586960984</v>
      </c>
    </row>
    <row r="88" spans="1:5" x14ac:dyDescent="0.3">
      <c r="A88" s="33" t="s">
        <v>107</v>
      </c>
      <c r="B88" s="7">
        <f>D88/E88</f>
        <v>1.4196503369142379E-2</v>
      </c>
      <c r="C88" s="19">
        <v>0.1</v>
      </c>
      <c r="D88" s="3">
        <v>6720.4276080129021</v>
      </c>
      <c r="E88" s="3">
        <v>473386.11721957335</v>
      </c>
    </row>
    <row r="89" spans="1:5" x14ac:dyDescent="0.3">
      <c r="A89" s="33" t="s">
        <v>108</v>
      </c>
      <c r="B89" s="7">
        <f>D89/E89</f>
        <v>-4.7496940945632192E-2</v>
      </c>
      <c r="C89" s="19">
        <v>0.1</v>
      </c>
      <c r="D89" s="3">
        <v>-910.63702251909115</v>
      </c>
      <c r="E89" s="3">
        <v>19172.540470794953</v>
      </c>
    </row>
    <row r="90" spans="1:5" x14ac:dyDescent="0.3">
      <c r="A90" s="33" t="s">
        <v>109</v>
      </c>
      <c r="B90" s="7">
        <f>D90/E90</f>
        <v>8.7121044422518584E-2</v>
      </c>
      <c r="C90" s="19">
        <v>0.1</v>
      </c>
      <c r="D90" s="3">
        <v>14042.312454488134</v>
      </c>
      <c r="E90" s="3">
        <v>161181.63582137396</v>
      </c>
    </row>
    <row r="91" spans="1:5" x14ac:dyDescent="0.3">
      <c r="A91" s="33" t="s">
        <v>110</v>
      </c>
      <c r="B91" s="7">
        <f>D91/E91</f>
        <v>0.11043464198533787</v>
      </c>
      <c r="C91" s="19">
        <v>0.1</v>
      </c>
      <c r="D91" s="3">
        <v>43304.57241379311</v>
      </c>
      <c r="E91" s="3">
        <v>392128.5172413793</v>
      </c>
    </row>
  </sheetData>
  <sortState xmlns:xlrd2="http://schemas.microsoft.com/office/spreadsheetml/2017/richdata2" ref="A56:D82">
    <sortCondition descending="1" ref="D55:D82"/>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9B0CB-D6D3-40E4-A4E7-A1791E8E95D5}">
  <dimension ref="A3:D30"/>
  <sheetViews>
    <sheetView topLeftCell="A19" workbookViewId="0">
      <selection activeCell="A37" sqref="A37"/>
    </sheetView>
  </sheetViews>
  <sheetFormatPr defaultRowHeight="14.4" x14ac:dyDescent="0.3"/>
  <cols>
    <col min="1" max="1" width="19.21875" bestFit="1" customWidth="1"/>
    <col min="2" max="2" width="20.6640625" bestFit="1" customWidth="1"/>
    <col min="3" max="3" width="25.77734375" bestFit="1" customWidth="1"/>
    <col min="4" max="4" width="18.44140625" bestFit="1" customWidth="1"/>
  </cols>
  <sheetData>
    <row r="3" spans="1:4" x14ac:dyDescent="0.3">
      <c r="A3" s="17" t="s">
        <v>82</v>
      </c>
      <c r="B3" t="s">
        <v>99</v>
      </c>
      <c r="C3" t="s">
        <v>100</v>
      </c>
      <c r="D3" t="s">
        <v>84</v>
      </c>
    </row>
    <row r="4" spans="1:4" x14ac:dyDescent="0.3">
      <c r="A4" s="18" t="s">
        <v>57</v>
      </c>
      <c r="B4" s="3">
        <v>4099.6689655172422</v>
      </c>
      <c r="C4" s="3">
        <v>302.88275862068923</v>
      </c>
      <c r="D4">
        <v>31140</v>
      </c>
    </row>
    <row r="5" spans="1:4" x14ac:dyDescent="0.3">
      <c r="A5" s="18" t="s">
        <v>34</v>
      </c>
      <c r="B5" s="3">
        <v>13335.223684527016</v>
      </c>
      <c r="C5" s="3">
        <v>406.43148788677632</v>
      </c>
      <c r="D5">
        <v>136420</v>
      </c>
    </row>
    <row r="6" spans="1:4" x14ac:dyDescent="0.3">
      <c r="A6" s="18" t="s">
        <v>48</v>
      </c>
      <c r="B6" s="3">
        <v>5081.0517241379312</v>
      </c>
      <c r="C6" s="3">
        <v>155.52758620689679</v>
      </c>
      <c r="D6">
        <v>29204</v>
      </c>
    </row>
    <row r="7" spans="1:4" x14ac:dyDescent="0.3">
      <c r="A7" s="18" t="s">
        <v>50</v>
      </c>
      <c r="B7" s="3">
        <v>77922.482758620681</v>
      </c>
      <c r="C7" s="3">
        <v>10070.027586206903</v>
      </c>
      <c r="D7">
        <v>520772</v>
      </c>
    </row>
    <row r="8" spans="1:4" x14ac:dyDescent="0.3">
      <c r="A8" s="18" t="s">
        <v>49</v>
      </c>
      <c r="B8" s="3">
        <v>186388.78275862068</v>
      </c>
      <c r="C8" s="3">
        <v>26356.375862068962</v>
      </c>
      <c r="D8">
        <v>1259104</v>
      </c>
    </row>
    <row r="9" spans="1:4" x14ac:dyDescent="0.3">
      <c r="A9" s="18" t="s">
        <v>35</v>
      </c>
      <c r="B9" s="3">
        <v>39148.571992337165</v>
      </c>
      <c r="C9" s="3">
        <v>-1332.0202681992341</v>
      </c>
      <c r="D9">
        <v>296400</v>
      </c>
    </row>
    <row r="10" spans="1:4" x14ac:dyDescent="0.3">
      <c r="A10" s="18" t="s">
        <v>37</v>
      </c>
      <c r="B10" s="3">
        <v>80702.597938501873</v>
      </c>
      <c r="C10" s="3">
        <v>4066.3675787395114</v>
      </c>
      <c r="D10">
        <v>963980</v>
      </c>
    </row>
    <row r="11" spans="1:4" x14ac:dyDescent="0.3">
      <c r="A11" s="18" t="s">
        <v>51</v>
      </c>
      <c r="B11" s="3">
        <v>14594.203448275863</v>
      </c>
      <c r="C11" s="3">
        <v>1099.3137931034464</v>
      </c>
      <c r="D11">
        <v>105840</v>
      </c>
    </row>
    <row r="12" spans="1:4" x14ac:dyDescent="0.3">
      <c r="A12" s="18" t="s">
        <v>38</v>
      </c>
      <c r="B12" s="3">
        <v>71078.983996797295</v>
      </c>
      <c r="C12" s="3">
        <v>-5991.9771002455827</v>
      </c>
      <c r="D12">
        <v>524312</v>
      </c>
    </row>
    <row r="13" spans="1:4" x14ac:dyDescent="0.3">
      <c r="A13" s="18" t="s">
        <v>30</v>
      </c>
      <c r="B13" s="3">
        <v>18168.082319473229</v>
      </c>
      <c r="C13" s="3">
        <v>-754.00645740426251</v>
      </c>
      <c r="D13">
        <v>198956</v>
      </c>
    </row>
    <row r="14" spans="1:4" x14ac:dyDescent="0.3">
      <c r="A14" s="18" t="s">
        <v>27</v>
      </c>
      <c r="B14" s="3">
        <v>106022.03103448276</v>
      </c>
      <c r="C14" s="3">
        <v>5504.1551724137971</v>
      </c>
      <c r="D14">
        <v>550800</v>
      </c>
    </row>
    <row r="15" spans="1:4" x14ac:dyDescent="0.3">
      <c r="A15" s="18" t="s">
        <v>39</v>
      </c>
      <c r="B15" s="3">
        <v>98488.849532036998</v>
      </c>
      <c r="C15" s="3">
        <v>5745.9780541699029</v>
      </c>
      <c r="D15">
        <v>863660</v>
      </c>
    </row>
    <row r="16" spans="1:4" x14ac:dyDescent="0.3">
      <c r="A16" s="18" t="s">
        <v>40</v>
      </c>
      <c r="B16" s="3">
        <v>36905.691048611705</v>
      </c>
      <c r="C16" s="3">
        <v>-1153.8634624048077</v>
      </c>
      <c r="D16">
        <v>279060</v>
      </c>
    </row>
    <row r="17" spans="1:4" x14ac:dyDescent="0.3">
      <c r="A17" s="18" t="s">
        <v>53</v>
      </c>
      <c r="B17" s="3">
        <v>19875.775862068967</v>
      </c>
      <c r="C17" s="3">
        <v>1809.5689655172414</v>
      </c>
      <c r="D17">
        <v>146250</v>
      </c>
    </row>
    <row r="18" spans="1:4" x14ac:dyDescent="0.3">
      <c r="A18" s="18" t="s">
        <v>42</v>
      </c>
      <c r="B18" s="3">
        <v>29037.34429349492</v>
      </c>
      <c r="C18" s="3">
        <v>2034.5522582292197</v>
      </c>
      <c r="D18">
        <v>355308</v>
      </c>
    </row>
    <row r="19" spans="1:4" x14ac:dyDescent="0.3">
      <c r="A19" s="18" t="s">
        <v>33</v>
      </c>
      <c r="B19" s="3">
        <v>19172.540470794953</v>
      </c>
      <c r="C19" s="3">
        <v>-910.63702251909115</v>
      </c>
      <c r="D19">
        <v>195776</v>
      </c>
    </row>
    <row r="20" spans="1:4" x14ac:dyDescent="0.3">
      <c r="A20" s="18" t="s">
        <v>44</v>
      </c>
      <c r="B20" s="3">
        <v>42333.034482758623</v>
      </c>
      <c r="C20" s="3">
        <v>2732.6758620689639</v>
      </c>
      <c r="D20">
        <v>466752</v>
      </c>
    </row>
    <row r="21" spans="1:4" x14ac:dyDescent="0.3">
      <c r="A21" s="18" t="s">
        <v>45</v>
      </c>
      <c r="B21" s="3">
        <v>14530.593103448276</v>
      </c>
      <c r="C21" s="3">
        <v>1736.4413793103449</v>
      </c>
      <c r="D21">
        <v>117936</v>
      </c>
    </row>
    <row r="22" spans="1:4" x14ac:dyDescent="0.3">
      <c r="A22" s="18" t="s">
        <v>46</v>
      </c>
      <c r="B22" s="3">
        <v>15269.13448275862</v>
      </c>
      <c r="C22" s="3">
        <v>37.789655172415102</v>
      </c>
      <c r="D22">
        <v>158536</v>
      </c>
    </row>
    <row r="23" spans="1:4" x14ac:dyDescent="0.3">
      <c r="A23" s="18" t="s">
        <v>54</v>
      </c>
      <c r="B23" s="3">
        <v>15430.831034482761</v>
      </c>
      <c r="C23" s="3">
        <v>-493.12068965517341</v>
      </c>
      <c r="D23">
        <v>135373</v>
      </c>
    </row>
    <row r="24" spans="1:4" x14ac:dyDescent="0.3">
      <c r="A24" s="18" t="s">
        <v>52</v>
      </c>
      <c r="B24" s="3">
        <v>2119.9655172413795</v>
      </c>
      <c r="C24" s="3">
        <v>119.17241379310326</v>
      </c>
      <c r="D24">
        <v>17550</v>
      </c>
    </row>
    <row r="25" spans="1:4" x14ac:dyDescent="0.3">
      <c r="A25" s="18" t="s">
        <v>23</v>
      </c>
      <c r="B25" s="3">
        <v>64108.29444206359</v>
      </c>
      <c r="C25" s="3">
        <v>6231.3986613846828</v>
      </c>
      <c r="D25">
        <v>566580</v>
      </c>
    </row>
    <row r="26" spans="1:4" x14ac:dyDescent="0.3">
      <c r="A26" s="18" t="s">
        <v>56</v>
      </c>
      <c r="B26" s="3">
        <v>4162.8034482758621</v>
      </c>
      <c r="C26" s="3">
        <v>484.92068965517257</v>
      </c>
      <c r="D26">
        <v>37440</v>
      </c>
    </row>
    <row r="27" spans="1:4" x14ac:dyDescent="0.3">
      <c r="A27" s="18" t="s">
        <v>32</v>
      </c>
      <c r="B27" s="3">
        <v>12505.940586960984</v>
      </c>
      <c r="C27" s="3">
        <v>2842.8525164872917</v>
      </c>
      <c r="D27">
        <v>110638</v>
      </c>
    </row>
    <row r="28" spans="1:4" x14ac:dyDescent="0.3">
      <c r="A28" s="18" t="s">
        <v>47</v>
      </c>
      <c r="B28" s="3">
        <v>14388.010344827586</v>
      </c>
      <c r="C28" s="3">
        <v>-807.94137931034447</v>
      </c>
      <c r="D28">
        <v>119340</v>
      </c>
    </row>
    <row r="29" spans="1:4" x14ac:dyDescent="0.3">
      <c r="A29" s="18" t="s">
        <v>55</v>
      </c>
      <c r="B29" s="3">
        <v>53504.262068965516</v>
      </c>
      <c r="C29" s="3">
        <v>5706.6620689655201</v>
      </c>
      <c r="D29">
        <v>536599</v>
      </c>
    </row>
    <row r="30" spans="1:4" x14ac:dyDescent="0.3">
      <c r="A30" s="18" t="s">
        <v>83</v>
      </c>
      <c r="B30" s="3">
        <v>1058374.7513400826</v>
      </c>
      <c r="C30" s="3">
        <v>65999.527970262337</v>
      </c>
      <c r="D30">
        <v>8723726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CBA0-EF27-4B3F-87E6-90EA3BB44EDC}">
  <dimension ref="A1:C7"/>
  <sheetViews>
    <sheetView workbookViewId="0">
      <selection activeCell="G11" sqref="G11"/>
    </sheetView>
  </sheetViews>
  <sheetFormatPr defaultRowHeight="14.4" x14ac:dyDescent="0.3"/>
  <cols>
    <col min="1" max="1" width="12.44140625" bestFit="1" customWidth="1"/>
    <col min="2" max="2" width="25.77734375" bestFit="1" customWidth="1"/>
    <col min="3" max="3" width="20.6640625" bestFit="1" customWidth="1"/>
  </cols>
  <sheetData>
    <row r="1" spans="1:3" x14ac:dyDescent="0.3">
      <c r="A1" s="17" t="s">
        <v>82</v>
      </c>
      <c r="B1" t="s">
        <v>100</v>
      </c>
      <c r="C1" t="s">
        <v>99</v>
      </c>
    </row>
    <row r="2" spans="1:3" x14ac:dyDescent="0.3">
      <c r="A2" s="18" t="s">
        <v>85</v>
      </c>
      <c r="B2" s="3">
        <v>2842.8525164872917</v>
      </c>
      <c r="C2" s="3">
        <v>12505.940586960984</v>
      </c>
    </row>
    <row r="3" spans="1:3" x14ac:dyDescent="0.3">
      <c r="A3" s="18" t="s">
        <v>86</v>
      </c>
      <c r="B3" s="3">
        <v>6720.4276080129021</v>
      </c>
      <c r="C3" s="3">
        <v>473386.11721957335</v>
      </c>
    </row>
    <row r="4" spans="1:3" x14ac:dyDescent="0.3">
      <c r="A4" s="18" t="s">
        <v>87</v>
      </c>
      <c r="B4" s="3">
        <v>-910.63702251909115</v>
      </c>
      <c r="C4" s="3">
        <v>19172.540470794953</v>
      </c>
    </row>
    <row r="5" spans="1:3" x14ac:dyDescent="0.3">
      <c r="A5" s="18" t="s">
        <v>88</v>
      </c>
      <c r="B5" s="3">
        <v>14042.312454488134</v>
      </c>
      <c r="C5" s="3">
        <v>161181.63582137396</v>
      </c>
    </row>
    <row r="6" spans="1:3" x14ac:dyDescent="0.3">
      <c r="A6" s="18" t="s">
        <v>89</v>
      </c>
      <c r="B6" s="3">
        <v>43304.57241379311</v>
      </c>
      <c r="C6" s="3">
        <v>392128.5172413793</v>
      </c>
    </row>
    <row r="7" spans="1:3" x14ac:dyDescent="0.3">
      <c r="A7" s="18" t="s">
        <v>83</v>
      </c>
      <c r="B7" s="3">
        <v>65999.527970262337</v>
      </c>
      <c r="C7" s="3">
        <v>1058374.7513400826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Calc</vt:lpstr>
      <vt:lpstr>Raw Data</vt:lpstr>
      <vt:lpstr>Clean Data</vt:lpstr>
      <vt:lpstr>Dashboard</vt:lpstr>
      <vt:lpstr>Calcs for dash</vt:lpstr>
      <vt:lpstr>Pivot1</vt:lpstr>
      <vt:lpstr>Pivot2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Mikhail Vashkevich</dc:creator>
  <cp:lastModifiedBy>Mikhail Vashkevich</cp:lastModifiedBy>
  <cp:lastPrinted>2026-07-18T18:38:56Z</cp:lastPrinted>
  <dcterms:created xsi:type="dcterms:W3CDTF">2026-07-17T01:24:11Z</dcterms:created>
  <dcterms:modified xsi:type="dcterms:W3CDTF">2026-07-30T00:06:46Z</dcterms:modified>
</cp:coreProperties>
</file>